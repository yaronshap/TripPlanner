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f037e82f1e49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71abaaf31924a30"/>
    <x:sheet xmlns:r="http://schemas.openxmlformats.org/officeDocument/2006/relationships" name="Attractions" sheetId="2" r:id="Reeabc3d8eeb54390"/>
    <x:sheet xmlns:r="http://schemas.openxmlformats.org/officeDocument/2006/relationships" name="States" sheetId="3" r:id="R00d06415cac54f98"/>
    <x:sheet xmlns:r="http://schemas.openxmlformats.org/officeDocument/2006/relationships" name="Scenic Roads" sheetId="4" r:id="R3c580ea6fe5f49ac"/>
    <x:sheet xmlns:r="http://schemas.openxmlformats.org/officeDocument/2006/relationships" name="Sources" sheetId="5" r:id="R9d5c07ab98fc41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9fb49777304c0b" /><Relationship Type="http://schemas.openxmlformats.org/officeDocument/2006/relationships/theme" Target="/xl/theme/theme1.xml" Id="R906dae3447fe44f5" /><Relationship Type="http://schemas.microsoft.com/office/2022/11/relationships/FeaturePropertyBag" Target="/xl/featurePropertyBag/featurePropertyBag.xml" Id="R165db62ccb3e4d7b" /><Relationship Type="http://schemas.openxmlformats.org/officeDocument/2006/relationships/sharedStrings" Target="/xl/sharedStrings.xml" Id="Rb44b44290bcc4772" /><Relationship Type="http://schemas.openxmlformats.org/officeDocument/2006/relationships/worksheet" Target="/xl/worksheets/sheet1.xml" Id="R671abaaf31924a30" /><Relationship Type="http://schemas.openxmlformats.org/officeDocument/2006/relationships/worksheet" Target="/xl/worksheets/sheet2.xml" Id="Reeabc3d8eeb54390" /><Relationship Type="http://schemas.openxmlformats.org/officeDocument/2006/relationships/worksheet" Target="/xl/worksheets/sheet3.xml" Id="R00d06415cac54f98" /><Relationship Type="http://schemas.openxmlformats.org/officeDocument/2006/relationships/worksheet" Target="/xl/worksheets/sheet4.xml" Id="R3c580ea6fe5f49ac" /><Relationship Type="http://schemas.openxmlformats.org/officeDocument/2006/relationships/worksheet" Target="/xl/worksheets/sheet5.xml" Id="R9d5c07ab98fc41d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604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49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58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48488ab5ec4e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e9c8996bdc41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5495ebbb2840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3bc2ec35b54c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Mainland USA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All 48 contiguous U.S. states</x:v>
      </x:c>
    </x:row>
    <x:row r="5">
      <x:c r="A5" s="5" t="str">
        <x:v>States included</x:v>
      </x:c>
      <x:c r="B5" t="n">
        <x:v>48</x:v>
      </x:c>
    </x:row>
    <x:row r="6">
      <x:c r="A6" s="5" t="str">
        <x:v>Attractions included</x:v>
      </x:c>
      <x:c r="B6" t="n">
        <x:v>603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mainland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mainland-USA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IFERROR(VLOOKUP(A2,States!$A$2:$B$49,2,FALSE),FALSE)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IFERROR(VLOOKUP(A3,States!$A$2:$B$49,2,FALSE),FALSE)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IFERROR(VLOOKUP(A4,States!$A$2:$B$49,2,FALSE),FALSE)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IFERROR(VLOOKUP(A5,States!$A$2:$B$49,2,FALSE),FALSE)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IFERROR(VLOOKUP(A6,States!$A$2:$B$49,2,FALSE),FALSE)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IFERROR(VLOOKUP(A7,States!$A$2:$B$49,2,FALSE),FALSE)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IFERROR(VLOOKUP(A8,States!$A$2:$B$49,2,FALSE),FALSE)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IFERROR(VLOOKUP(A9,States!$A$2:$B$49,2,FALSE),FALSE)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IFERROR(VLOOKUP(A10,States!$A$2:$B$49,2,FALSE),FALSE)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IFERROR(VLOOKUP(A11,States!$A$2:$B$49,2,FALSE),FALSE)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IFERROR(VLOOKUP(A12,States!$A$2:$B$49,2,FALSE),FALSE)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IFERROR(VLOOKUP(A13,States!$A$2:$B$49,2,FALSE),FALSE)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IFERROR(VLOOKUP(A14,States!$A$2:$B$49,2,FALSE),FALSE)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IFERROR(VLOOKUP(A15,States!$A$2:$B$49,2,FALSE),FALSE)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IFERROR(VLOOKUP(A16,States!$A$2:$B$49,2,FALSE),FALSE)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IFERROR(VLOOKUP(A17,States!$A$2:$B$49,2,FALSE),FALSE)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IFERROR(VLOOKUP(A18,States!$A$2:$B$49,2,FALSE),FALSE)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IFERROR(VLOOKUP(A19,States!$A$2:$B$49,2,FALSE),FALSE)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IFERROR(VLOOKUP(A20,States!$A$2:$B$49,2,FALSE),FALSE)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IFERROR(VLOOKUP(A21,States!$A$2:$B$49,2,FALSE),FALSE)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IFERROR(VLOOKUP(A22,States!$A$2:$B$49,2,FALSE),FALSE)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IFERROR(VLOOKUP(A23,States!$A$2:$B$49,2,FALSE),FALSE)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IFERROR(VLOOKUP(A24,States!$A$2:$B$49,2,FALSE),FALSE)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IFERROR(VLOOKUP(A25,States!$A$2:$B$49,2,FALSE),FALSE)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IFERROR(VLOOKUP(A26,States!$A$2:$B$49,2,FALSE),FALSE)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IFERROR(VLOOKUP(A27,States!$A$2:$B$49,2,FALSE),FALSE)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IFERROR(VLOOKUP(A28,States!$A$2:$B$49,2,FALSE),FALSE)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IFERROR(VLOOKUP(A29,States!$A$2:$B$49,2,FALSE),FALSE)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IFERROR(VLOOKUP(A30,States!$A$2:$B$49,2,FALSE),FALSE)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IFERROR(VLOOKUP(A31,States!$A$2:$B$49,2,FALSE),FALSE)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IFERROR(VLOOKUP(A32,States!$A$2:$B$49,2,FALSE),FALSE)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IFERROR(VLOOKUP(A33,States!$A$2:$B$49,2,FALSE),FALSE)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IFERROR(VLOOKUP(A34,States!$A$2:$B$49,2,FALSE),FALSE)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IFERROR(VLOOKUP(A35,States!$A$2:$B$49,2,FALSE),FALSE)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IFERROR(VLOOKUP(A36,States!$A$2:$B$49,2,FALSE),FALSE)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IFERROR(VLOOKUP(A37,States!$A$2:$B$49,2,FALSE),FALSE)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IFERROR(VLOOKUP(A38,States!$A$2:$B$49,2,FALSE),FALSE)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IFERROR(VLOOKUP(A39,States!$A$2:$B$49,2,FALSE),FALSE)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IFERROR(VLOOKUP(A40,States!$A$2:$B$49,2,FALSE),FALSE)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IFERROR(VLOOKUP(A41,States!$A$2:$B$49,2,FALSE),FALSE)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IFERROR(VLOOKUP(A42,States!$A$2:$B$49,2,FALSE),FALSE)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IFERROR(VLOOKUP(A43,States!$A$2:$B$49,2,FALSE),FALSE)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IFERROR(VLOOKUP(A44,States!$A$2:$B$49,2,FALSE),FALSE)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IFERROR(VLOOKUP(A45,States!$A$2:$B$49,2,FALSE),FALSE)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IFERROR(VLOOKUP(A46,States!$A$2:$B$49,2,FALSE),FALSE)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IFERROR(VLOOKUP(A47,States!$A$2:$B$49,2,FALSE),FALSE)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IFERROR(VLOOKUP(A48,States!$A$2:$B$49,2,FALSE),FALSE)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IFERROR(VLOOKUP(A49,States!$A$2:$B$49,2,FALSE),FALSE)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IFERROR(VLOOKUP(A50,States!$A$2:$B$49,2,FALSE),FALSE)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IFERROR(VLOOKUP(A51,States!$A$2:$B$49,2,FALSE),FALSE)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IFERROR(VLOOKUP(A52,States!$A$2:$B$49,2,FALSE),FALSE)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IFERROR(VLOOKUP(A53,States!$A$2:$B$49,2,FALSE),FALSE)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IFERROR(VLOOKUP(A54,States!$A$2:$B$49,2,FALSE),FALSE)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IFERROR(VLOOKUP(A55,States!$A$2:$B$49,2,FALSE),FALSE)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IFERROR(VLOOKUP(A56,States!$A$2:$B$49,2,FALSE),FALSE)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IFERROR(VLOOKUP(A57,States!$A$2:$B$49,2,FALSE),FALSE)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IFERROR(VLOOKUP(A58,States!$A$2:$B$49,2,FALSE),FALSE)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IFERROR(VLOOKUP(A59,States!$A$2:$B$49,2,FALSE),FALSE)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IFERROR(VLOOKUP(A60,States!$A$2:$B$49,2,FALSE),FALSE)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IFERROR(VLOOKUP(A61,States!$A$2:$B$49,2,FALSE),FALSE)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IFERROR(VLOOKUP(A62,States!$A$2:$B$49,2,FALSE),FALSE)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IFERROR(VLOOKUP(A63,States!$A$2:$B$49,2,FALSE),FALSE)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IFERROR(VLOOKUP(A64,States!$A$2:$B$49,2,FALSE),FALSE)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IFERROR(VLOOKUP(A65,States!$A$2:$B$49,2,FALSE),FALSE)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IFERROR(VLOOKUP(A66,States!$A$2:$B$49,2,FALSE),FALSE)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IFERROR(VLOOKUP(A67,States!$A$2:$B$49,2,FALSE),FALSE)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IFERROR(VLOOKUP(A68,States!$A$2:$B$49,2,FALSE),FALSE)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IFERROR(VLOOKUP(A69,States!$A$2:$B$49,2,FALSE),FALSE)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IFERROR(VLOOKUP(A70,States!$A$2:$B$49,2,FALSE),FALSE)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IFERROR(VLOOKUP(A71,States!$A$2:$B$49,2,FALSE),FALSE)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IFERROR(VLOOKUP(A72,States!$A$2:$B$49,2,FALSE),FALSE)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IFERROR(VLOOKUP(A73,States!$A$2:$B$49,2,FALSE),FALSE)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IFERROR(VLOOKUP(A74,States!$A$2:$B$49,2,FALSE),FALSE)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IFERROR(VLOOKUP(A75,States!$A$2:$B$49,2,FALSE),FALSE)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IFERROR(VLOOKUP(A76,States!$A$2:$B$49,2,FALSE),FALSE)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IFERROR(VLOOKUP(A77,States!$A$2:$B$49,2,FALSE),FALSE)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IFERROR(VLOOKUP(A78,States!$A$2:$B$49,2,FALSE),FALSE)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IFERROR(VLOOKUP(A79,States!$A$2:$B$49,2,FALSE),FALSE)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IFERROR(VLOOKUP(A80,States!$A$2:$B$49,2,FALSE),FALSE)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IFERROR(VLOOKUP(A81,States!$A$2:$B$49,2,FALSE),FALSE)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IFERROR(VLOOKUP(A82,States!$A$2:$B$49,2,FALSE),FALSE)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IFERROR(VLOOKUP(A83,States!$A$2:$B$49,2,FALSE),FALSE)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IFERROR(VLOOKUP(A84,States!$A$2:$B$49,2,FALSE),FALSE)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IFERROR(VLOOKUP(A85,States!$A$2:$B$49,2,FALSE),FALSE)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IFERROR(VLOOKUP(A86,States!$A$2:$B$49,2,FALSE),FALSE)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IFERROR(VLOOKUP(A87,States!$A$2:$B$49,2,FALSE),FALSE)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IFERROR(VLOOKUP(A88,States!$A$2:$B$49,2,FALSE),FALSE)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IFERROR(VLOOKUP(A89,States!$A$2:$B$49,2,FALSE),FALSE)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IFERROR(VLOOKUP(A90,States!$A$2:$B$49,2,FALSE),FALSE)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IFERROR(VLOOKUP(A91,States!$A$2:$B$49,2,FALSE),FALSE)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IFERROR(VLOOKUP(A92,States!$A$2:$B$49,2,FALSE),FALSE)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IFERROR(VLOOKUP(A93,States!$A$2:$B$49,2,FALSE),FALSE)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IFERROR(VLOOKUP(A94,States!$A$2:$B$49,2,FALSE),FALSE)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IFERROR(VLOOKUP(A95,States!$A$2:$B$49,2,FALSE),FALSE)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IFERROR(VLOOKUP(A96,States!$A$2:$B$49,2,FALSE),FALSE)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IFERROR(VLOOKUP(A97,States!$A$2:$B$49,2,FALSE),FALSE)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IFERROR(VLOOKUP(A98,States!$A$2:$B$49,2,FALSE),FALSE)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IFERROR(VLOOKUP(A99,States!$A$2:$B$49,2,FALSE),FALSE)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IFERROR(VLOOKUP(A100,States!$A$2:$B$49,2,FALSE),FALSE)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IFERROR(VLOOKUP(A101,States!$A$2:$B$49,2,FALSE),FALSE)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IFERROR(VLOOKUP(A102,States!$A$2:$B$49,2,FALSE),FALSE)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IFERROR(VLOOKUP(A103,States!$A$2:$B$49,2,FALSE),FALSE)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IFERROR(VLOOKUP(A104,States!$A$2:$B$49,2,FALSE),FALSE)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IFERROR(VLOOKUP(A105,States!$A$2:$B$49,2,FALSE),FALSE)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IFERROR(VLOOKUP(A106,States!$A$2:$B$49,2,FALSE),FALSE)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IFERROR(VLOOKUP(A107,States!$A$2:$B$49,2,FALSE),FALSE)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IFERROR(VLOOKUP(A108,States!$A$2:$B$49,2,FALSE),FALSE)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IFERROR(VLOOKUP(A109,States!$A$2:$B$49,2,FALSE),FALSE)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IFERROR(VLOOKUP(A110,States!$A$2:$B$49,2,FALSE),FALSE)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IFERROR(VLOOKUP(A111,States!$A$2:$B$49,2,FALSE),FALSE)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IFERROR(VLOOKUP(A112,States!$A$2:$B$49,2,FALSE),FALSE)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IFERROR(VLOOKUP(A113,States!$A$2:$B$49,2,FALSE),FALSE)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IFERROR(VLOOKUP(A114,States!$A$2:$B$49,2,FALSE),FALSE)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IFERROR(VLOOKUP(A115,States!$A$2:$B$49,2,FALSE),FALSE)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IFERROR(VLOOKUP(A116,States!$A$2:$B$49,2,FALSE),FALSE)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IFERROR(VLOOKUP(A117,States!$A$2:$B$49,2,FALSE),FALSE)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IFERROR(VLOOKUP(A118,States!$A$2:$B$49,2,FALSE),FALSE)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IFERROR(VLOOKUP(A119,States!$A$2:$B$49,2,FALSE),FALSE)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IFERROR(VLOOKUP(A120,States!$A$2:$B$49,2,FALSE),FALSE)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IFERROR(VLOOKUP(A121,States!$A$2:$B$49,2,FALSE),FALSE)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IFERROR(VLOOKUP(A122,States!$A$2:$B$49,2,FALSE),FALSE)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IFERROR(VLOOKUP(A123,States!$A$2:$B$49,2,FALSE),FALSE)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IFERROR(VLOOKUP(A124,States!$A$2:$B$49,2,FALSE),FALSE)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IFERROR(VLOOKUP(A125,States!$A$2:$B$49,2,FALSE),FALSE)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IFERROR(VLOOKUP(A126,States!$A$2:$B$49,2,FALSE),FALSE)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IFERROR(VLOOKUP(A127,States!$A$2:$B$49,2,FALSE),FALSE)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IFERROR(VLOOKUP(A128,States!$A$2:$B$49,2,FALSE),FALSE)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IFERROR(VLOOKUP(A129,States!$A$2:$B$49,2,FALSE),FALSE)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IFERROR(VLOOKUP(A130,States!$A$2:$B$49,2,FALSE),FALSE)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IFERROR(VLOOKUP(A131,States!$A$2:$B$49,2,FALSE),FALSE)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IFERROR(VLOOKUP(A132,States!$A$2:$B$49,2,FALSE),FALSE)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IFERROR(VLOOKUP(A133,States!$A$2:$B$49,2,FALSE),FALSE)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IFERROR(VLOOKUP(A134,States!$A$2:$B$49,2,FALSE),FALSE)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IFERROR(VLOOKUP(A135,States!$A$2:$B$49,2,FALSE),FALSE)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IFERROR(VLOOKUP(A136,States!$A$2:$B$49,2,FALSE),FALSE)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IFERROR(VLOOKUP(A137,States!$A$2:$B$49,2,FALSE),FALSE)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IFERROR(VLOOKUP(A138,States!$A$2:$B$49,2,FALSE),FALSE)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IFERROR(VLOOKUP(A139,States!$A$2:$B$49,2,FALSE),FALSE)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IFERROR(VLOOKUP(A140,States!$A$2:$B$49,2,FALSE),FALSE)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IFERROR(VLOOKUP(A141,States!$A$2:$B$49,2,FALSE),FALSE)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IFERROR(VLOOKUP(A142,States!$A$2:$B$49,2,FALSE),FALSE)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IFERROR(VLOOKUP(A143,States!$A$2:$B$49,2,FALSE),FALSE)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IFERROR(VLOOKUP(A144,States!$A$2:$B$49,2,FALSE),FALSE)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IFERROR(VLOOKUP(A145,States!$A$2:$B$49,2,FALSE),FALSE)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IFERROR(VLOOKUP(A146,States!$A$2:$B$49,2,FALSE),FALSE)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IFERROR(VLOOKUP(A147,States!$A$2:$B$49,2,FALSE),FALSE)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IFERROR(VLOOKUP(A148,States!$A$2:$B$49,2,FALSE),FALSE)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IFERROR(VLOOKUP(A149,States!$A$2:$B$49,2,FALSE),FALSE)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IFERROR(VLOOKUP(A150,States!$A$2:$B$49,2,FALSE),FALSE)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IFERROR(VLOOKUP(A151,States!$A$2:$B$49,2,FALSE),FALSE)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IFERROR(VLOOKUP(A152,States!$A$2:$B$49,2,FALSE),FALSE)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IFERROR(VLOOKUP(A153,States!$A$2:$B$49,2,FALSE),FALSE)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IFERROR(VLOOKUP(A154,States!$A$2:$B$49,2,FALSE),FALSE)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IFERROR(VLOOKUP(A155,States!$A$2:$B$49,2,FALSE),FALSE)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IFERROR(VLOOKUP(A156,States!$A$2:$B$49,2,FALSE),FALSE)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IFERROR(VLOOKUP(A157,States!$A$2:$B$49,2,FALSE),FALSE)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IFERROR(VLOOKUP(A158,States!$A$2:$B$49,2,FALSE),FALSE)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IFERROR(VLOOKUP(A159,States!$A$2:$B$49,2,FALSE),FALSE)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IFERROR(VLOOKUP(A160,States!$A$2:$B$49,2,FALSE),FALSE)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IFERROR(VLOOKUP(A161,States!$A$2:$B$49,2,FALSE),FALSE)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IFERROR(VLOOKUP(A162,States!$A$2:$B$49,2,FALSE),FALSE)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IFERROR(VLOOKUP(A163,States!$A$2:$B$49,2,FALSE),FALSE)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IFERROR(VLOOKUP(A164,States!$A$2:$B$49,2,FALSE),FALSE)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IFERROR(VLOOKUP(A165,States!$A$2:$B$49,2,FALSE),FALSE)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IFERROR(VLOOKUP(A166,States!$A$2:$B$49,2,FALSE),FALSE)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IFERROR(VLOOKUP(A167,States!$A$2:$B$49,2,FALSE),FALSE)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IFERROR(VLOOKUP(A168,States!$A$2:$B$49,2,FALSE),FALSE)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IFERROR(VLOOKUP(A169,States!$A$2:$B$49,2,FALSE),FALSE)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IFERROR(VLOOKUP(A170,States!$A$2:$B$49,2,FALSE),FALSE)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IFERROR(VLOOKUP(A171,States!$A$2:$B$49,2,FALSE),FALSE)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IFERROR(VLOOKUP(A172,States!$A$2:$B$49,2,FALSE),FALSE)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IFERROR(VLOOKUP(A173,States!$A$2:$B$49,2,FALSE),FALSE)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IFERROR(VLOOKUP(A174,States!$A$2:$B$49,2,FALSE),FALSE)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IFERROR(VLOOKUP(A175,States!$A$2:$B$49,2,FALSE),FALSE)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IFERROR(VLOOKUP(A176,States!$A$2:$B$49,2,FALSE),FALSE)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IFERROR(VLOOKUP(A177,States!$A$2:$B$49,2,FALSE),FALSE)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IFERROR(VLOOKUP(A178,States!$A$2:$B$49,2,FALSE),FALSE)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IFERROR(VLOOKUP(A179,States!$A$2:$B$49,2,FALSE),FALSE)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IFERROR(VLOOKUP(A180,States!$A$2:$B$49,2,FALSE),FALSE)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IFERROR(VLOOKUP(A181,States!$A$2:$B$49,2,FALSE),FALSE)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IFERROR(VLOOKUP(A182,States!$A$2:$B$49,2,FALSE),FALSE)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IFERROR(VLOOKUP(A183,States!$A$2:$B$49,2,FALSE),FALSE)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IFERROR(VLOOKUP(A184,States!$A$2:$B$49,2,FALSE),FALSE)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IFERROR(VLOOKUP(A185,States!$A$2:$B$49,2,FALSE),FALSE)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IFERROR(VLOOKUP(A186,States!$A$2:$B$49,2,FALSE),FALSE)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IFERROR(VLOOKUP(A187,States!$A$2:$B$49,2,FALSE),FALSE)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IFERROR(VLOOKUP(A188,States!$A$2:$B$49,2,FALSE),FALSE)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IFERROR(VLOOKUP(A189,States!$A$2:$B$49,2,FALSE),FALSE)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IFERROR(VLOOKUP(A190,States!$A$2:$B$49,2,FALSE),FALSE)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IFERROR(VLOOKUP(A191,States!$A$2:$B$49,2,FALSE),FALSE)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IFERROR(VLOOKUP(A192,States!$A$2:$B$49,2,FALSE),FALSE)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IFERROR(VLOOKUP(A193,States!$A$2:$B$49,2,FALSE),FALSE)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IFERROR(VLOOKUP(A194,States!$A$2:$B$49,2,FALSE),FALSE)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IFERROR(VLOOKUP(A195,States!$A$2:$B$49,2,FALSE),FALSE)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IFERROR(VLOOKUP(A196,States!$A$2:$B$49,2,FALSE),FALSE)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IFERROR(VLOOKUP(A197,States!$A$2:$B$49,2,FALSE),FALSE)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IFERROR(VLOOKUP(A198,States!$A$2:$B$49,2,FALSE),FALSE)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IFERROR(VLOOKUP(A199,States!$A$2:$B$49,2,FALSE),FALSE)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IFERROR(VLOOKUP(A200,States!$A$2:$B$49,2,FALSE),FALSE)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IFERROR(VLOOKUP(A201,States!$A$2:$B$49,2,FALSE),FALSE)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IFERROR(VLOOKUP(A202,States!$A$2:$B$49,2,FALSE),FALSE)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IFERROR(VLOOKUP(A203,States!$A$2:$B$49,2,FALSE),FALSE)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IFERROR(VLOOKUP(A204,States!$A$2:$B$49,2,FALSE),FALSE)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IFERROR(VLOOKUP(A205,States!$A$2:$B$49,2,FALSE),FALSE)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IFERROR(VLOOKUP(A206,States!$A$2:$B$49,2,FALSE),FALSE)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IFERROR(VLOOKUP(A207,States!$A$2:$B$49,2,FALSE),FALSE)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IFERROR(VLOOKUP(A208,States!$A$2:$B$49,2,FALSE),FALSE)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IFERROR(VLOOKUP(A209,States!$A$2:$B$49,2,FALSE),FALSE)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IFERROR(VLOOKUP(A210,States!$A$2:$B$49,2,FALSE),FALSE)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IFERROR(VLOOKUP(A211,States!$A$2:$B$49,2,FALSE),FALSE)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IFERROR(VLOOKUP(A212,States!$A$2:$B$49,2,FALSE),FALSE)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IFERROR(VLOOKUP(A213,States!$A$2:$B$49,2,FALSE),FALSE)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IFERROR(VLOOKUP(A214,States!$A$2:$B$49,2,FALSE),FALSE)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IFERROR(VLOOKUP(A215,States!$A$2:$B$49,2,FALSE),FALSE)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IFERROR(VLOOKUP(A216,States!$A$2:$B$49,2,FALSE),FALSE)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IFERROR(VLOOKUP(A217,States!$A$2:$B$49,2,FALSE),FALSE)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IFERROR(VLOOKUP(A218,States!$A$2:$B$49,2,FALSE),FALSE)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IFERROR(VLOOKUP(A219,States!$A$2:$B$49,2,FALSE),FALSE)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IFERROR(VLOOKUP(A220,States!$A$2:$B$49,2,FALSE),FALSE)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IFERROR(VLOOKUP(A221,States!$A$2:$B$49,2,FALSE),FALSE)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IFERROR(VLOOKUP(A222,States!$A$2:$B$49,2,FALSE),FALSE)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IFERROR(VLOOKUP(A223,States!$A$2:$B$49,2,FALSE),FALSE)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IFERROR(VLOOKUP(A224,States!$A$2:$B$49,2,FALSE),FALSE)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IFERROR(VLOOKUP(A225,States!$A$2:$B$49,2,FALSE),FALSE)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IFERROR(VLOOKUP(A226,States!$A$2:$B$49,2,FALSE),FALSE)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IFERROR(VLOOKUP(A227,States!$A$2:$B$49,2,FALSE),FALSE)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IFERROR(VLOOKUP(A228,States!$A$2:$B$49,2,FALSE),FALSE)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IFERROR(VLOOKUP(A229,States!$A$2:$B$49,2,FALSE),FALSE)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IFERROR(VLOOKUP(A230,States!$A$2:$B$49,2,FALSE),FALSE)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IFERROR(VLOOKUP(A231,States!$A$2:$B$49,2,FALSE),FALSE)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IFERROR(VLOOKUP(A232,States!$A$2:$B$49,2,FALSE),FALSE)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IFERROR(VLOOKUP(A233,States!$A$2:$B$49,2,FALSE),FALSE)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IFERROR(VLOOKUP(A234,States!$A$2:$B$49,2,FALSE),FALSE)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IFERROR(VLOOKUP(A235,States!$A$2:$B$49,2,FALSE),FALSE)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IFERROR(VLOOKUP(A236,States!$A$2:$B$49,2,FALSE),FALSE)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IFERROR(VLOOKUP(A237,States!$A$2:$B$49,2,FALSE),FALSE)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IFERROR(VLOOKUP(A238,States!$A$2:$B$49,2,FALSE),FALSE)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IFERROR(VLOOKUP(A239,States!$A$2:$B$49,2,FALSE),FALSE)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IFERROR(VLOOKUP(A240,States!$A$2:$B$49,2,FALSE),FALSE)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IFERROR(VLOOKUP(A241,States!$A$2:$B$49,2,FALSE),FALSE)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IFERROR(VLOOKUP(A242,States!$A$2:$B$49,2,FALSE),FALSE)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IFERROR(VLOOKUP(A243,States!$A$2:$B$49,2,FALSE),FALSE)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IFERROR(VLOOKUP(A244,States!$A$2:$B$49,2,FALSE),FALSE)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IFERROR(VLOOKUP(A245,States!$A$2:$B$49,2,FALSE),FALSE)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IFERROR(VLOOKUP(A246,States!$A$2:$B$49,2,FALSE),FALSE)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IFERROR(VLOOKUP(A247,States!$A$2:$B$49,2,FALSE),FALSE)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IFERROR(VLOOKUP(A248,States!$A$2:$B$49,2,FALSE),FALSE)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IFERROR(VLOOKUP(A249,States!$A$2:$B$49,2,FALSE),FALSE)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IFERROR(VLOOKUP(A250,States!$A$2:$B$49,2,FALSE),FALSE)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IFERROR(VLOOKUP(A251,States!$A$2:$B$49,2,FALSE),FALSE)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IFERROR(VLOOKUP(A252,States!$A$2:$B$49,2,FALSE),FALSE)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IFERROR(VLOOKUP(A253,States!$A$2:$B$49,2,FALSE),FALSE)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IFERROR(VLOOKUP(A254,States!$A$2:$B$49,2,FALSE),FALSE)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IFERROR(VLOOKUP(A255,States!$A$2:$B$49,2,FALSE),FALSE)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IFERROR(VLOOKUP(A256,States!$A$2:$B$49,2,FALSE),FALSE)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IFERROR(VLOOKUP(A257,States!$A$2:$B$49,2,FALSE),FALSE)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IFERROR(VLOOKUP(A258,States!$A$2:$B$49,2,FALSE),FALSE)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IFERROR(VLOOKUP(A259,States!$A$2:$B$49,2,FALSE),FALSE)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IFERROR(VLOOKUP(A260,States!$A$2:$B$49,2,FALSE),FALSE)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IFERROR(VLOOKUP(A261,States!$A$2:$B$49,2,FALSE),FALSE)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IFERROR(VLOOKUP(A262,States!$A$2:$B$49,2,FALSE),FALSE)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IFERROR(VLOOKUP(A263,States!$A$2:$B$49,2,FALSE),FALSE)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IFERROR(VLOOKUP(A264,States!$A$2:$B$49,2,FALSE),FALSE)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IFERROR(VLOOKUP(A265,States!$A$2:$B$49,2,FALSE),FALSE)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IFERROR(VLOOKUP(A266,States!$A$2:$B$49,2,FALSE),FALSE)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IFERROR(VLOOKUP(A267,States!$A$2:$B$49,2,FALSE),FALSE)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IFERROR(VLOOKUP(A268,States!$A$2:$B$49,2,FALSE),FALSE)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IFERROR(VLOOKUP(A269,States!$A$2:$B$49,2,FALSE),FALSE)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IFERROR(VLOOKUP(A270,States!$A$2:$B$49,2,FALSE),FALSE)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IFERROR(VLOOKUP(A271,States!$A$2:$B$49,2,FALSE),FALSE)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IFERROR(VLOOKUP(A272,States!$A$2:$B$49,2,FALSE),FALSE)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IFERROR(VLOOKUP(A273,States!$A$2:$B$49,2,FALSE),FALSE)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IFERROR(VLOOKUP(A274,States!$A$2:$B$49,2,FALSE),FALSE)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IFERROR(VLOOKUP(A275,States!$A$2:$B$49,2,FALSE),FALSE)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IFERROR(VLOOKUP(A276,States!$A$2:$B$49,2,FALSE),FALSE)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IFERROR(VLOOKUP(A277,States!$A$2:$B$49,2,FALSE),FALSE)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IFERROR(VLOOKUP(A278,States!$A$2:$B$49,2,FALSE),FALSE)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IFERROR(VLOOKUP(A279,States!$A$2:$B$49,2,FALSE),FALSE)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IFERROR(VLOOKUP(A280,States!$A$2:$B$49,2,FALSE),FALSE)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IFERROR(VLOOKUP(A281,States!$A$2:$B$49,2,FALSE),FALSE)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IFERROR(VLOOKUP(A282,States!$A$2:$B$49,2,FALSE),FALSE)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IFERROR(VLOOKUP(A283,States!$A$2:$B$49,2,FALSE),FALSE)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IFERROR(VLOOKUP(A284,States!$A$2:$B$49,2,FALSE),FALSE)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IFERROR(VLOOKUP(A285,States!$A$2:$B$49,2,FALSE),FALSE)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IFERROR(VLOOKUP(A286,States!$A$2:$B$49,2,FALSE),FALSE)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IFERROR(VLOOKUP(A287,States!$A$2:$B$49,2,FALSE),FALSE)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IFERROR(VLOOKUP(A288,States!$A$2:$B$49,2,FALSE),FALSE)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IFERROR(VLOOKUP(A289,States!$A$2:$B$49,2,FALSE),FALSE)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IFERROR(VLOOKUP(A290,States!$A$2:$B$49,2,FALSE),FALSE)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IFERROR(VLOOKUP(A291,States!$A$2:$B$49,2,FALSE),FALSE)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IFERROR(VLOOKUP(A292,States!$A$2:$B$49,2,FALSE),FALSE)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IFERROR(VLOOKUP(A293,States!$A$2:$B$49,2,FALSE),FALSE)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IFERROR(VLOOKUP(A294,States!$A$2:$B$49,2,FALSE),FALSE)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IFERROR(VLOOKUP(A295,States!$A$2:$B$49,2,FALSE),FALSE)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IFERROR(VLOOKUP(A296,States!$A$2:$B$49,2,FALSE),FALSE)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IFERROR(VLOOKUP(A297,States!$A$2:$B$49,2,FALSE),FALSE)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IFERROR(VLOOKUP(A298,States!$A$2:$B$49,2,FALSE),FALSE)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IFERROR(VLOOKUP(A299,States!$A$2:$B$49,2,FALSE),FALSE)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IFERROR(VLOOKUP(A300,States!$A$2:$B$49,2,FALSE),FALSE)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IFERROR(VLOOKUP(A301,States!$A$2:$B$49,2,FALSE),FALSE)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IFERROR(VLOOKUP(A302,States!$A$2:$B$49,2,FALSE),FALSE)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IFERROR(VLOOKUP(A303,States!$A$2:$B$49,2,FALSE),FALSE)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IFERROR(VLOOKUP(A304,States!$A$2:$B$49,2,FALSE),FALSE)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IFERROR(VLOOKUP(A305,States!$A$2:$B$49,2,FALSE),FALSE)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IFERROR(VLOOKUP(A306,States!$A$2:$B$49,2,FALSE),FALSE)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IFERROR(VLOOKUP(A307,States!$A$2:$B$49,2,FALSE),FALSE)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IFERROR(VLOOKUP(A308,States!$A$2:$B$49,2,FALSE),FALSE)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IFERROR(VLOOKUP(A309,States!$A$2:$B$49,2,FALSE),FALSE)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IFERROR(VLOOKUP(A310,States!$A$2:$B$49,2,FALSE),FALSE)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IFERROR(VLOOKUP(A311,States!$A$2:$B$49,2,FALSE),FALSE)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IFERROR(VLOOKUP(A312,States!$A$2:$B$49,2,FALSE),FALSE)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IFERROR(VLOOKUP(A313,States!$A$2:$B$49,2,FALSE),FALSE)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IFERROR(VLOOKUP(A314,States!$A$2:$B$49,2,FALSE),FALSE)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IFERROR(VLOOKUP(A315,States!$A$2:$B$49,2,FALSE),FALSE)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IFERROR(VLOOKUP(A316,States!$A$2:$B$49,2,FALSE),FALSE)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IFERROR(VLOOKUP(A317,States!$A$2:$B$49,2,FALSE),FALSE)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IFERROR(VLOOKUP(A318,States!$A$2:$B$49,2,FALSE),FALSE)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IFERROR(VLOOKUP(A319,States!$A$2:$B$49,2,FALSE),FALSE)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IFERROR(VLOOKUP(A320,States!$A$2:$B$49,2,FALSE),FALSE)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IFERROR(VLOOKUP(A321,States!$A$2:$B$49,2,FALSE),FALSE)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IFERROR(VLOOKUP(A322,States!$A$2:$B$49,2,FALSE),FALSE)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IFERROR(VLOOKUP(A323,States!$A$2:$B$49,2,FALSE),FALSE)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IFERROR(VLOOKUP(A324,States!$A$2:$B$49,2,FALSE),FALSE)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IFERROR(VLOOKUP(A325,States!$A$2:$B$49,2,FALSE),FALSE)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IFERROR(VLOOKUP(A326,States!$A$2:$B$49,2,FALSE),FALSE)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IFERROR(VLOOKUP(A327,States!$A$2:$B$49,2,FALSE),FALSE)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IFERROR(VLOOKUP(A328,States!$A$2:$B$49,2,FALSE),FALSE)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IFERROR(VLOOKUP(A329,States!$A$2:$B$49,2,FALSE),FALSE)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IFERROR(VLOOKUP(A330,States!$A$2:$B$49,2,FALSE),FALSE)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IFERROR(VLOOKUP(A331,States!$A$2:$B$49,2,FALSE),FALSE)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IFERROR(VLOOKUP(A332,States!$A$2:$B$49,2,FALSE),FALSE)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IFERROR(VLOOKUP(A333,States!$A$2:$B$49,2,FALSE),FALSE)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IFERROR(VLOOKUP(A334,States!$A$2:$B$49,2,FALSE),FALSE)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IFERROR(VLOOKUP(A335,States!$A$2:$B$49,2,FALSE),FALSE)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IFERROR(VLOOKUP(A336,States!$A$2:$B$49,2,FALSE),FALSE)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IFERROR(VLOOKUP(A337,States!$A$2:$B$49,2,FALSE),FALSE)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IFERROR(VLOOKUP(A338,States!$A$2:$B$49,2,FALSE),FALSE)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IFERROR(VLOOKUP(A339,States!$A$2:$B$49,2,FALSE),FALSE)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IFERROR(VLOOKUP(A340,States!$A$2:$B$49,2,FALSE),FALSE)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IFERROR(VLOOKUP(A341,States!$A$2:$B$49,2,FALSE),FALSE)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IFERROR(VLOOKUP(A342,States!$A$2:$B$49,2,FALSE),FALSE)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IFERROR(VLOOKUP(A343,States!$A$2:$B$49,2,FALSE),FALSE)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IFERROR(VLOOKUP(A344,States!$A$2:$B$49,2,FALSE),FALSE)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IFERROR(VLOOKUP(A345,States!$A$2:$B$49,2,FALSE),FALSE)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IFERROR(VLOOKUP(A346,States!$A$2:$B$49,2,FALSE),FALSE)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IFERROR(VLOOKUP(A347,States!$A$2:$B$49,2,FALSE),FALSE)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IFERROR(VLOOKUP(A348,States!$A$2:$B$49,2,FALSE),FALSE)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IFERROR(VLOOKUP(A349,States!$A$2:$B$49,2,FALSE),FALSE)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IFERROR(VLOOKUP(A350,States!$A$2:$B$49,2,FALSE),FALSE)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IFERROR(VLOOKUP(A351,States!$A$2:$B$49,2,FALSE),FALSE)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IFERROR(VLOOKUP(A352,States!$A$2:$B$49,2,FALSE),FALSE)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IFERROR(VLOOKUP(A353,States!$A$2:$B$49,2,FALSE),FALSE)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IFERROR(VLOOKUP(A354,States!$A$2:$B$49,2,FALSE),FALSE)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IFERROR(VLOOKUP(A355,States!$A$2:$B$49,2,FALSE),FALSE)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IFERROR(VLOOKUP(A356,States!$A$2:$B$49,2,FALSE),FALSE)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IFERROR(VLOOKUP(A357,States!$A$2:$B$49,2,FALSE),FALSE)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IFERROR(VLOOKUP(A358,States!$A$2:$B$49,2,FALSE),FALSE)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IFERROR(VLOOKUP(A359,States!$A$2:$B$49,2,FALSE),FALSE)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IFERROR(VLOOKUP(A360,States!$A$2:$B$49,2,FALSE),FALSE)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IFERROR(VLOOKUP(A361,States!$A$2:$B$49,2,FALSE),FALSE)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IFERROR(VLOOKUP(A362,States!$A$2:$B$49,2,FALSE),FALSE)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IFERROR(VLOOKUP(A363,States!$A$2:$B$49,2,FALSE),FALSE)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IFERROR(VLOOKUP(A364,States!$A$2:$B$49,2,FALSE),FALSE)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IFERROR(VLOOKUP(A365,States!$A$2:$B$49,2,FALSE),FALSE)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IFERROR(VLOOKUP(A366,States!$A$2:$B$49,2,FALSE),FALSE)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IFERROR(VLOOKUP(A367,States!$A$2:$B$49,2,FALSE),FALSE)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IFERROR(VLOOKUP(A368,States!$A$2:$B$49,2,FALSE),FALSE)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IFERROR(VLOOKUP(A369,States!$A$2:$B$49,2,FALSE),FALSE)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IFERROR(VLOOKUP(A370,States!$A$2:$B$49,2,FALSE),FALSE)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IFERROR(VLOOKUP(A371,States!$A$2:$B$49,2,FALSE),FALSE)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IFERROR(VLOOKUP(A372,States!$A$2:$B$49,2,FALSE),FALSE)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IFERROR(VLOOKUP(A373,States!$A$2:$B$49,2,FALSE),FALSE)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IFERROR(VLOOKUP(A374,States!$A$2:$B$49,2,FALSE),FALSE)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IFERROR(VLOOKUP(A375,States!$A$2:$B$49,2,FALSE),FALSE)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IFERROR(VLOOKUP(A376,States!$A$2:$B$49,2,FALSE),FALSE)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IFERROR(VLOOKUP(A377,States!$A$2:$B$49,2,FALSE),FALSE)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IFERROR(VLOOKUP(A378,States!$A$2:$B$49,2,FALSE),FALSE)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IFERROR(VLOOKUP(A379,States!$A$2:$B$49,2,FALSE),FALSE)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IFERROR(VLOOKUP(A380,States!$A$2:$B$49,2,FALSE),FALSE)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IFERROR(VLOOKUP(A381,States!$A$2:$B$49,2,FALSE),FALSE)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IFERROR(VLOOKUP(A382,States!$A$2:$B$49,2,FALSE),FALSE)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IFERROR(VLOOKUP(A383,States!$A$2:$B$49,2,FALSE),FALSE)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IFERROR(VLOOKUP(A384,States!$A$2:$B$49,2,FALSE),FALSE)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IFERROR(VLOOKUP(A385,States!$A$2:$B$49,2,FALSE),FALSE)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IFERROR(VLOOKUP(A386,States!$A$2:$B$49,2,FALSE),FALSE)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IFERROR(VLOOKUP(A387,States!$A$2:$B$49,2,FALSE),FALSE)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IFERROR(VLOOKUP(A388,States!$A$2:$B$49,2,FALSE),FALSE)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IFERROR(VLOOKUP(A389,States!$A$2:$B$49,2,FALSE),FALSE)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IFERROR(VLOOKUP(A390,States!$A$2:$B$49,2,FALSE),FALSE)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IFERROR(VLOOKUP(A391,States!$A$2:$B$49,2,FALSE),FALSE)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IFERROR(VLOOKUP(A392,States!$A$2:$B$49,2,FALSE),FALSE)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IFERROR(VLOOKUP(A393,States!$A$2:$B$49,2,FALSE),FALSE)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IFERROR(VLOOKUP(A394,States!$A$2:$B$49,2,FALSE),FALSE)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IFERROR(VLOOKUP(A395,States!$A$2:$B$49,2,FALSE),FALSE)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IFERROR(VLOOKUP(A396,States!$A$2:$B$49,2,FALSE),FALSE)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IFERROR(VLOOKUP(A397,States!$A$2:$B$49,2,FALSE),FALSE)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IFERROR(VLOOKUP(A398,States!$A$2:$B$49,2,FALSE),FALSE)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IFERROR(VLOOKUP(A399,States!$A$2:$B$49,2,FALSE),FALSE)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IFERROR(VLOOKUP(A400,States!$A$2:$B$49,2,FALSE),FALSE)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IFERROR(VLOOKUP(A401,States!$A$2:$B$49,2,FALSE),FALSE)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IFERROR(VLOOKUP(A402,States!$A$2:$B$49,2,FALSE),FALSE)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IFERROR(VLOOKUP(A403,States!$A$2:$B$49,2,FALSE),FALSE)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IFERROR(VLOOKUP(A404,States!$A$2:$B$49,2,FALSE),FALSE)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IFERROR(VLOOKUP(A405,States!$A$2:$B$49,2,FALSE),FALSE)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IFERROR(VLOOKUP(A406,States!$A$2:$B$49,2,FALSE),FALSE)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IFERROR(VLOOKUP(A407,States!$A$2:$B$49,2,FALSE),FALSE)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IFERROR(VLOOKUP(A408,States!$A$2:$B$49,2,FALSE),FALSE)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IFERROR(VLOOKUP(A409,States!$A$2:$B$49,2,FALSE),FALSE)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IFERROR(VLOOKUP(A410,States!$A$2:$B$49,2,FALSE),FALSE)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IFERROR(VLOOKUP(A411,States!$A$2:$B$49,2,FALSE),FALSE)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IFERROR(VLOOKUP(A412,States!$A$2:$B$49,2,FALSE),FALSE)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IFERROR(VLOOKUP(A413,States!$A$2:$B$49,2,FALSE),FALSE)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IFERROR(VLOOKUP(A414,States!$A$2:$B$49,2,FALSE),FALSE)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IFERROR(VLOOKUP(A415,States!$A$2:$B$49,2,FALSE),FALSE)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IFERROR(VLOOKUP(A416,States!$A$2:$B$49,2,FALSE),FALSE)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IFERROR(VLOOKUP(A417,States!$A$2:$B$49,2,FALSE),FALSE)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IFERROR(VLOOKUP(A418,States!$A$2:$B$49,2,FALSE),FALSE)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IFERROR(VLOOKUP(A419,States!$A$2:$B$49,2,FALSE),FALSE)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IFERROR(VLOOKUP(A420,States!$A$2:$B$49,2,FALSE),FALSE)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IFERROR(VLOOKUP(A421,States!$A$2:$B$49,2,FALSE),FALSE)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IFERROR(VLOOKUP(A422,States!$A$2:$B$49,2,FALSE),FALSE)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IFERROR(VLOOKUP(A423,States!$A$2:$B$49,2,FALSE),FALSE)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IFERROR(VLOOKUP(A424,States!$A$2:$B$49,2,FALSE),FALSE)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IFERROR(VLOOKUP(A425,States!$A$2:$B$49,2,FALSE),FALSE)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IFERROR(VLOOKUP(A426,States!$A$2:$B$49,2,FALSE),FALSE)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IFERROR(VLOOKUP(A427,States!$A$2:$B$49,2,FALSE),FALSE)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IFERROR(VLOOKUP(A428,States!$A$2:$B$49,2,FALSE),FALSE)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IFERROR(VLOOKUP(A429,States!$A$2:$B$49,2,FALSE),FALSE)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IFERROR(VLOOKUP(A430,States!$A$2:$B$49,2,FALSE),FALSE)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IFERROR(VLOOKUP(A431,States!$A$2:$B$49,2,FALSE),FALSE)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IFERROR(VLOOKUP(A432,States!$A$2:$B$49,2,FALSE),FALSE)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IFERROR(VLOOKUP(A433,States!$A$2:$B$49,2,FALSE),FALSE)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IFERROR(VLOOKUP(A434,States!$A$2:$B$49,2,FALSE),FALSE)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IFERROR(VLOOKUP(A435,States!$A$2:$B$49,2,FALSE),FALSE)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IFERROR(VLOOKUP(A436,States!$A$2:$B$49,2,FALSE),FALSE)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IFERROR(VLOOKUP(A437,States!$A$2:$B$49,2,FALSE),FALSE)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IFERROR(VLOOKUP(A438,States!$A$2:$B$49,2,FALSE),FALSE)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IFERROR(VLOOKUP(A439,States!$A$2:$B$49,2,FALSE),FALSE)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IFERROR(VLOOKUP(A440,States!$A$2:$B$49,2,FALSE),FALSE)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IFERROR(VLOOKUP(A441,States!$A$2:$B$49,2,FALSE),FALSE)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IFERROR(VLOOKUP(A442,States!$A$2:$B$49,2,FALSE),FALSE)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IFERROR(VLOOKUP(A443,States!$A$2:$B$49,2,FALSE),FALSE)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IFERROR(VLOOKUP(A444,States!$A$2:$B$49,2,FALSE),FALSE)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IFERROR(VLOOKUP(A445,States!$A$2:$B$49,2,FALSE),FALSE)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IFERROR(VLOOKUP(A446,States!$A$2:$B$49,2,FALSE),FALSE)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IFERROR(VLOOKUP(A447,States!$A$2:$B$49,2,FALSE),FALSE)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IFERROR(VLOOKUP(A448,States!$A$2:$B$49,2,FALSE),FALSE)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IFERROR(VLOOKUP(A449,States!$A$2:$B$49,2,FALSE),FALSE)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IFERROR(VLOOKUP(A450,States!$A$2:$B$49,2,FALSE),FALSE)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IFERROR(VLOOKUP(A451,States!$A$2:$B$49,2,FALSE),FALSE)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IFERROR(VLOOKUP(A452,States!$A$2:$B$49,2,FALSE),FALSE)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IFERROR(VLOOKUP(A453,States!$A$2:$B$49,2,FALSE),FALSE)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IFERROR(VLOOKUP(A454,States!$A$2:$B$49,2,FALSE),FALSE)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IFERROR(VLOOKUP(A455,States!$A$2:$B$49,2,FALSE),FALSE)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IFERROR(VLOOKUP(A456,States!$A$2:$B$49,2,FALSE),FALSE)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IFERROR(VLOOKUP(A457,States!$A$2:$B$49,2,FALSE),FALSE)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IFERROR(VLOOKUP(A458,States!$A$2:$B$49,2,FALSE),FALSE)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IFERROR(VLOOKUP(A459,States!$A$2:$B$49,2,FALSE),FALSE)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IFERROR(VLOOKUP(A460,States!$A$2:$B$49,2,FALSE),FALSE)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IFERROR(VLOOKUP(A461,States!$A$2:$B$49,2,FALSE),FALSE)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IFERROR(VLOOKUP(A462,States!$A$2:$B$49,2,FALSE),FALSE)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IFERROR(VLOOKUP(A463,States!$A$2:$B$49,2,FALSE),FALSE)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IFERROR(VLOOKUP(A464,States!$A$2:$B$49,2,FALSE),FALSE)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IFERROR(VLOOKUP(A465,States!$A$2:$B$49,2,FALSE),FALSE)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IFERROR(VLOOKUP(A466,States!$A$2:$B$49,2,FALSE),FALSE)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IFERROR(VLOOKUP(A467,States!$A$2:$B$49,2,FALSE),FALSE)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IFERROR(VLOOKUP(A468,States!$A$2:$B$49,2,FALSE),FALSE)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IFERROR(VLOOKUP(A469,States!$A$2:$B$49,2,FALSE),FALSE)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IFERROR(VLOOKUP(A470,States!$A$2:$B$49,2,FALSE),FALSE)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IFERROR(VLOOKUP(A471,States!$A$2:$B$49,2,FALSE),FALSE)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IFERROR(VLOOKUP(A472,States!$A$2:$B$49,2,FALSE),FALSE)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IFERROR(VLOOKUP(A473,States!$A$2:$B$49,2,FALSE),FALSE)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IFERROR(VLOOKUP(A474,States!$A$2:$B$49,2,FALSE),FALSE)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IFERROR(VLOOKUP(A475,States!$A$2:$B$49,2,FALSE),FALSE)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IFERROR(VLOOKUP(A476,States!$A$2:$B$49,2,FALSE),FALSE)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IFERROR(VLOOKUP(A477,States!$A$2:$B$49,2,FALSE),FALSE)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IFERROR(VLOOKUP(A478,States!$A$2:$B$49,2,FALSE),FALSE)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IFERROR(VLOOKUP(A479,States!$A$2:$B$49,2,FALSE),FALSE)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IFERROR(VLOOKUP(A480,States!$A$2:$B$49,2,FALSE),FALSE)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IFERROR(VLOOKUP(A481,States!$A$2:$B$49,2,FALSE),FALSE)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IFERROR(VLOOKUP(A482,States!$A$2:$B$49,2,FALSE),FALSE)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IFERROR(VLOOKUP(A483,States!$A$2:$B$49,2,FALSE),FALSE)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IFERROR(VLOOKUP(A484,States!$A$2:$B$49,2,FALSE),FALSE)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IFERROR(VLOOKUP(A485,States!$A$2:$B$49,2,FALSE),FALSE)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IFERROR(VLOOKUP(A486,States!$A$2:$B$49,2,FALSE),FALSE)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IFERROR(VLOOKUP(A487,States!$A$2:$B$49,2,FALSE),FALSE)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IFERROR(VLOOKUP(A488,States!$A$2:$B$49,2,FALSE),FALSE)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IFERROR(VLOOKUP(A489,States!$A$2:$B$49,2,FALSE),FALSE)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IFERROR(VLOOKUP(A490,States!$A$2:$B$49,2,FALSE),FALSE)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IFERROR(VLOOKUP(A491,States!$A$2:$B$49,2,FALSE),FALSE)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IFERROR(VLOOKUP(A492,States!$A$2:$B$49,2,FALSE),FALSE)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IFERROR(VLOOKUP(A493,States!$A$2:$B$49,2,FALSE),FALSE)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IFERROR(VLOOKUP(A494,States!$A$2:$B$49,2,FALSE),FALSE)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IFERROR(VLOOKUP(A495,States!$A$2:$B$49,2,FALSE),FALSE)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IFERROR(VLOOKUP(A496,States!$A$2:$B$49,2,FALSE),FALSE)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IFERROR(VLOOKUP(A497,States!$A$2:$B$49,2,FALSE),FALSE)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IFERROR(VLOOKUP(A498,States!$A$2:$B$49,2,FALSE),FALSE)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IFERROR(VLOOKUP(A499,States!$A$2:$B$49,2,FALSE),FALSE)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IFERROR(VLOOKUP(A500,States!$A$2:$B$49,2,FALSE),FALSE)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IFERROR(VLOOKUP(A501,States!$A$2:$B$49,2,FALSE),FALSE)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IFERROR(VLOOKUP(A502,States!$A$2:$B$49,2,FALSE),FALSE)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IFERROR(VLOOKUP(A503,States!$A$2:$B$49,2,FALSE),FALSE)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IFERROR(VLOOKUP(A504,States!$A$2:$B$49,2,FALSE),FALSE)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IFERROR(VLOOKUP(A505,States!$A$2:$B$49,2,FALSE),FALSE)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IFERROR(VLOOKUP(A506,States!$A$2:$B$49,2,FALSE),FALSE)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IFERROR(VLOOKUP(A507,States!$A$2:$B$49,2,FALSE),FALSE)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IFERROR(VLOOKUP(A508,States!$A$2:$B$49,2,FALSE),FALSE)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IFERROR(VLOOKUP(A509,States!$A$2:$B$49,2,FALSE),FALSE)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IFERROR(VLOOKUP(A510,States!$A$2:$B$49,2,FALSE),FALSE)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IFERROR(VLOOKUP(A511,States!$A$2:$B$49,2,FALSE),FALSE)</x:f>
        <x:v>1</x:v>
      </x:c>
      <x:c r="Q511" s="16" t="b">
        <x:f>AND(OR(O511=TRUE,O511="TRUE"),OR(P511=TRUE,P511="TRUE"))</x:f>
        <x:v>1</x:v>
      </x:c>
    </x:row>
    <x:row r="512">
      <x:c r="A512" s="16" t="str">
        <x:v>Alabama</x:v>
      </x:c>
      <x:c r="B512" s="16" t="str">
        <x:v>Birmingham</x:v>
      </x:c>
      <x:c r="C512" s="16" t="n">
        <x:v>-86.814</x:v>
      </x:c>
      <x:c r="D512" s="16" t="n">
        <x:v>33.516</x:v>
      </x:c>
      <x:c r="E512" s="16" t="str">
        <x:v>Birmingham Civil Rights Institute</x:v>
      </x:c>
      <x:c r="F512" s="16" t="str">
        <x:v>History travelers, students, families</x:v>
      </x:c>
      <x:c r="G512" s="16" t="str">
        <x:v>Powerful exhibits and nearby landmarks make civil-rights history tangible.</x:v>
      </x:c>
      <x:c r="H512" s="16" t="str">
        <x:v>Museum</x:v>
      </x:c>
      <x:c r="I512" s="16" t="str">
        <x:v>https://www.google.com/search?q=Birmingham%20Civil%20Rights%20Institute%20Birmingham%20Alabama%20official%20website</x:v>
      </x:c>
      <x:c r="J512" s="16" t="str">
        <x:v>https://www.google.com/search?q=site%3Aalabama.travel%20Birmingham%20Civil%20Rights%20Institute</x:v>
      </x:c>
      <x:c r="K512" s="16" t="str">
        <x:v>https://www.google.com/search?q=Birmingham%20Civil%20Rights%20Institute%20Birmingham%20Alabama%20visitor%20information</x:v>
      </x:c>
      <x:c r="L512" s="16" t="str">
        <x:v>https://www.google.com/search?q=Birmingham%20Civil%20Rights%20Institute%20Birmingham%20Alabama%20photos</x:v>
      </x:c>
      <x:c r="M512" s="16" t="str">
        <x:v>https://www.google.com/search?q=Birmingham%20Civil%20Rights%20Institute%20Birmingham%20Alabama%20wikipedia%20OR%20wikivoyage</x:v>
      </x:c>
      <x:c r="N512" s="16" t="str">
        <x:v>https://www.google.com/maps/search/?api=1&amp;query=Birmingham%20Civil%20Rights%20Institute%2C%20Birmingham%2C%20Alabama</x:v>
      </x:c>
      <x:c r="O512" s="17" t="b">
        <x:v>1</x:v>
      </x:c>
      <x:c r="P512" s="16" t="b">
        <x:f>IFERROR(VLOOKUP(A512,States!$A$2:$B$49,2,FALSE),FALSE)</x:f>
        <x:v>1</x:v>
      </x:c>
      <x:c r="Q512" s="16" t="b">
        <x:f>AND(OR(O512=TRUE,O512="TRUE"),OR(P512=TRUE,P512="TRUE"))</x:f>
        <x:v>1</x:v>
      </x:c>
    </x:row>
    <x:row r="513">
      <x:c r="A513" s="16" t="str">
        <x:v>Alabama</x:v>
      </x:c>
      <x:c r="B513" s="16" t="str">
        <x:v>Huntsville</x:v>
      </x:c>
      <x:c r="C513" s="16" t="n">
        <x:v>-86.655</x:v>
      </x:c>
      <x:c r="D513" s="16" t="n">
        <x:v>34.711</x:v>
      </x:c>
      <x:c r="E513" s="16" t="str">
        <x:v>U.S. Space and Rocket Center</x:v>
      </x:c>
      <x:c r="F513" s="16" t="str">
        <x:v>Families, science fans</x:v>
      </x:c>
      <x:c r="G513" s="16" t="str">
        <x:v>Rockets, spacecraft, and simulators anchor a major space-history stop.</x:v>
      </x:c>
      <x:c r="H513" s="16" t="str">
        <x:v>Science</x:v>
      </x:c>
      <x:c r="I513" s="16" t="str">
        <x:v>https://www.google.com/search?q=U.S.%20Space%20and%20Rocket%20Center%20Huntsville%20Alabama%20official%20website</x:v>
      </x:c>
      <x:c r="J513" s="16" t="str">
        <x:v>https://www.google.com/search?q=site%3Aalabama.travel%20U.S.%20Space%20and%20Rocket%20Center</x:v>
      </x:c>
      <x:c r="K513" s="16" t="str">
        <x:v>https://www.google.com/search?q=U.S.%20Space%20and%20Rocket%20Center%20Huntsville%20Alabama%20visitor%20information</x:v>
      </x:c>
      <x:c r="L513" s="16" t="str">
        <x:v>https://www.google.com/search?q=U.S.%20Space%20and%20Rocket%20Center%20Huntsville%20Alabama%20photos</x:v>
      </x:c>
      <x:c r="M513" s="16" t="str">
        <x:v>https://www.google.com/search?q=U.S.%20Space%20and%20Rocket%20Center%20Huntsville%20Alabama%20wikipedia%20OR%20wikivoyage</x:v>
      </x:c>
      <x:c r="N513" s="16" t="str">
        <x:v>https://www.google.com/maps/search/?api=1&amp;query=U.S.%20Space%20and%20Rocket%20Center%2C%20Huntsville%2C%20Alabama</x:v>
      </x:c>
      <x:c r="O513" s="17" t="b">
        <x:v>1</x:v>
      </x:c>
      <x:c r="P513" s="16" t="b">
        <x:f>IFERROR(VLOOKUP(A513,States!$A$2:$B$49,2,FALSE),FALSE)</x:f>
        <x:v>1</x:v>
      </x:c>
      <x:c r="Q513" s="16" t="b">
        <x:f>AND(OR(O513=TRUE,O513="TRUE"),OR(P513=TRUE,P513="TRUE"))</x:f>
        <x:v>1</x:v>
      </x:c>
    </x:row>
    <x:row r="514">
      <x:c r="A514" s="16" t="str">
        <x:v>Alabama</x:v>
      </x:c>
      <x:c r="B514" s="16" t="str">
        <x:v>Gulf Shores</x:v>
      </x:c>
      <x:c r="C514" s="16" t="n">
        <x:v>-87.653</x:v>
      </x:c>
      <x:c r="D514" s="16" t="n">
        <x:v>30.246</x:v>
      </x:c>
      <x:c r="E514" s="16" t="str">
        <x:v>Gulf State Park</x:v>
      </x:c>
      <x:c r="F514" s="16" t="str">
        <x:v>Beachgoers, families, cyclists</x:v>
      </x:c>
      <x:c r="G514" s="16" t="str">
        <x:v>White-sand beaches, trails, and coastal habitats create a full Gulf Coast stop.</x:v>
      </x:c>
      <x:c r="H514" s="16" t="str">
        <x:v>Beach</x:v>
      </x:c>
      <x:c r="I514" s="16" t="str">
        <x:v>https://www.google.com/search?q=Gulf%20State%20Park%20Gulf%20Shores%20Alabama%20official%20website</x:v>
      </x:c>
      <x:c r="J514" s="16" t="str">
        <x:v>https://www.google.com/search?q=site%3Aalabama.travel%20Gulf%20State%20Park</x:v>
      </x:c>
      <x:c r="K514" s="16" t="str">
        <x:v>https://www.google.com/search?q=Gulf%20State%20Park%20Gulf%20Shores%20Alabama%20visitor%20information</x:v>
      </x:c>
      <x:c r="L514" s="16" t="str">
        <x:v>https://www.google.com/search?q=Gulf%20State%20Park%20Gulf%20Shores%20Alabama%20photos</x:v>
      </x:c>
      <x:c r="M514" s="16" t="str">
        <x:v>https://www.google.com/search?q=Gulf%20State%20Park%20Gulf%20Shores%20Alabama%20wikipedia%20OR%20wikivoyage</x:v>
      </x:c>
      <x:c r="N514" s="16" t="str">
        <x:v>https://www.google.com/maps/search/?api=1&amp;query=Gulf%20State%20Park%2C%20Gulf%20Shores%2C%20Alabama</x:v>
      </x:c>
      <x:c r="O514" s="17" t="b">
        <x:v>1</x:v>
      </x:c>
      <x:c r="P514" s="16" t="b">
        <x:f>IFERROR(VLOOKUP(A514,States!$A$2:$B$49,2,FALSE),FALSE)</x:f>
        <x:v>1</x:v>
      </x:c>
      <x:c r="Q514" s="16" t="b">
        <x:f>AND(OR(O514=TRUE,O514="TRUE"),OR(P514=TRUE,P514="TRUE"))</x:f>
        <x:v>1</x:v>
      </x:c>
    </x:row>
    <x:row r="515">
      <x:c r="A515" s="16" t="str">
        <x:v>Arizona</x:v>
      </x:c>
      <x:c r="B515" s="16" t="str">
        <x:v>Grand Canyon Village</x:v>
      </x:c>
      <x:c r="C515" s="16" t="n">
        <x:v>-112.112</x:v>
      </x:c>
      <x:c r="D515" s="16" t="n">
        <x:v>36.057</x:v>
      </x:c>
      <x:c r="E515" s="16" t="str">
        <x:v>Grand Canyon National Park</x:v>
      </x:c>
      <x:c r="F515" s="16" t="str">
        <x:v>First-time visitors, hikers, photographers</x:v>
      </x:c>
      <x:c r="G515" s="16" t="str">
        <x:v>Immense canyon overlooks and trails define one of America's signature landscapes.</x:v>
      </x:c>
      <x:c r="H515" s="16" t="str">
        <x:v>National Park</x:v>
      </x:c>
      <x:c r="I515" s="16" t="str">
        <x:v>https://www.google.com/search?q=Grand%20Canyon%20National%20Park%20Grand%20Canyon%20Village%20Arizona%20official%20website</x:v>
      </x:c>
      <x:c r="J515" s="16" t="str">
        <x:v>https://www.google.com/search?q=site%3Avisitarizona.com%20Grand%20Canyon%20National%20Park</x:v>
      </x:c>
      <x:c r="K515" s="16" t="str">
        <x:v>https://www.google.com/search?q=Grand%20Canyon%20National%20Park%20Grand%20Canyon%20Village%20Arizona%20visitor%20information</x:v>
      </x:c>
      <x:c r="L515" s="16" t="str">
        <x:v>https://www.google.com/search?q=Grand%20Canyon%20National%20Park%20Grand%20Canyon%20Village%20Arizona%20photos</x:v>
      </x:c>
      <x:c r="M515" s="16" t="str">
        <x:v>https://www.google.com/search?q=site%3Anps.gov%20Grand%20Canyon%20National%20Park</x:v>
      </x:c>
      <x:c r="N515" s="16" t="str">
        <x:v>https://www.google.com/maps/search/?api=1&amp;query=Grand%20Canyon%20National%20Park%2C%20Grand%20Canyon%20Village%2C%20Arizona</x:v>
      </x:c>
      <x:c r="O515" s="17" t="b">
        <x:v>1</x:v>
      </x:c>
      <x:c r="P515" s="16" t="b">
        <x:f>IFERROR(VLOOKUP(A515,States!$A$2:$B$49,2,FALSE),FALSE)</x:f>
        <x:v>1</x:v>
      </x:c>
      <x:c r="Q515" s="16" t="b">
        <x:f>AND(OR(O515=TRUE,O515="TRUE"),OR(P515=TRUE,P515="TRUE"))</x:f>
        <x:v>1</x:v>
      </x:c>
    </x:row>
    <x:row r="516">
      <x:c r="A516" s="16" t="str">
        <x:v>Arizona</x:v>
      </x:c>
      <x:c r="B516" s="16" t="str">
        <x:v>Sedona</x:v>
      </x:c>
      <x:c r="C516" s="16" t="n">
        <x:v>-111.761</x:v>
      </x:c>
      <x:c r="D516" s="16" t="n">
        <x:v>34.869</x:v>
      </x:c>
      <x:c r="E516" s="16" t="str">
        <x:v>Sedona Red Rock Country</x:v>
      </x:c>
      <x:c r="F516" s="16" t="str">
        <x:v>Hikers, photographers, couples</x:v>
      </x:c>
      <x:c r="G516" s="16" t="str">
        <x:v>Red-rock buttes, trails, and desert light make a memorable scenic base.</x:v>
      </x:c>
      <x:c r="H516" s="16" t="str">
        <x:v>Nature</x:v>
      </x:c>
      <x:c r="I516" s="16" t="str">
        <x:v>https://www.google.com/search?q=Sedona%20Red%20Rock%20Country%20Sedona%20Arizona%20official%20website</x:v>
      </x:c>
      <x:c r="J516" s="16" t="str">
        <x:v>https://www.google.com/search?q=site%3Avisitarizona.com%20Sedona%20Red%20Rock%20Country</x:v>
      </x:c>
      <x:c r="K516" s="16" t="str">
        <x:v>https://www.google.com/search?q=Sedona%20Red%20Rock%20Country%20Sedona%20Arizona%20visitor%20information</x:v>
      </x:c>
      <x:c r="L516" s="16" t="str">
        <x:v>https://www.google.com/search?q=Sedona%20Red%20Rock%20Country%20Sedona%20Arizona%20photos</x:v>
      </x:c>
      <x:c r="M516" s="16" t="str">
        <x:v>https://www.google.com/search?q=Sedona%20Red%20Rock%20Country%20Sedona%20Arizona%20wikipedia%20OR%20wikivoyage</x:v>
      </x:c>
      <x:c r="N516" s="16" t="str">
        <x:v>https://www.google.com/maps/search/?api=1&amp;query=Sedona%20Red%20Rock%20Country%2C%20Sedona%2C%20Arizona</x:v>
      </x:c>
      <x:c r="O516" s="17" t="b">
        <x:v>1</x:v>
      </x:c>
      <x:c r="P516" s="16" t="b">
        <x:f>IFERROR(VLOOKUP(A516,States!$A$2:$B$49,2,FALSE),FALSE)</x:f>
        <x:v>1</x:v>
      </x:c>
      <x:c r="Q516" s="16" t="b">
        <x:f>AND(OR(O516=TRUE,O516="TRUE"),OR(P516=TRUE,P516="TRUE"))</x:f>
        <x:v>1</x:v>
      </x:c>
    </x:row>
    <x:row r="517">
      <x:c r="A517" s="16" t="str">
        <x:v>Arizona</x:v>
      </x:c>
      <x:c r="B517" s="16" t="str">
        <x:v>Page</x:v>
      </x:c>
      <x:c r="C517" s="16" t="n">
        <x:v>-111.502</x:v>
      </x:c>
      <x:c r="D517" s="16" t="n">
        <x:v>36.862</x:v>
      </x:c>
      <x:c r="E517" s="16" t="str">
        <x:v>Horseshoe Bend</x:v>
      </x:c>
      <x:c r="F517" s="16" t="str">
        <x:v>Photographers, road trippers</x:v>
      </x:c>
      <x:c r="G517" s="16" t="str">
        <x:v>A short walk reaches a dramatic Colorado River overlook.</x:v>
      </x:c>
      <x:c r="H517" s="16" t="str">
        <x:v>Scenic Overlook</x:v>
      </x:c>
      <x:c r="I517" s="16" t="str">
        <x:v>https://www.google.com/search?q=Horseshoe%20Bend%20Page%20Arizona%20official%20website</x:v>
      </x:c>
      <x:c r="J517" s="16" t="str">
        <x:v>https://www.google.com/search?q=site%3Avisitarizona.com%20Horseshoe%20Bend</x:v>
      </x:c>
      <x:c r="K517" s="16" t="str">
        <x:v>https://www.google.com/search?q=Horseshoe%20Bend%20Page%20Arizona%20visitor%20information</x:v>
      </x:c>
      <x:c r="L517" s="16" t="str">
        <x:v>https://www.google.com/search?q=Horseshoe%20Bend%20Page%20Arizona%20photos</x:v>
      </x:c>
      <x:c r="M517" s="16" t="str">
        <x:v>https://www.google.com/search?q=Horseshoe%20Bend%20Page%20Arizona%20wikipedia%20OR%20wikivoyage</x:v>
      </x:c>
      <x:c r="N517" s="16" t="str">
        <x:v>https://www.google.com/maps/search/?api=1&amp;query=Horseshoe%20Bend%2C%20Page%2C%20Arizona</x:v>
      </x:c>
      <x:c r="O517" s="17" t="b">
        <x:v>1</x:v>
      </x:c>
      <x:c r="P517" s="16" t="b">
        <x:f>IFERROR(VLOOKUP(A517,States!$A$2:$B$49,2,FALSE),FALSE)</x:f>
        <x:v>1</x:v>
      </x:c>
      <x:c r="Q517" s="16" t="b">
        <x:f>AND(OR(O517=TRUE,O517="TRUE"),OR(P517=TRUE,P517="TRUE"))</x:f>
        <x:v>1</x:v>
      </x:c>
    </x:row>
    <x:row r="518">
      <x:c r="A518" s="16" t="str">
        <x:v>Arkansas</x:v>
      </x:c>
      <x:c r="B518" s="16" t="str">
        <x:v>Hot Springs</x:v>
      </x:c>
      <x:c r="C518" s="16" t="n">
        <x:v>-93.054</x:v>
      </x:c>
      <x:c r="D518" s="16" t="n">
        <x:v>34.514</x:v>
      </x:c>
      <x:c r="E518" s="16" t="str">
        <x:v>Hot Springs National Park</x:v>
      </x:c>
      <x:c r="F518" s="16" t="str">
        <x:v>History travelers, spa fans, families</x:v>
      </x:c>
      <x:c r="G518" s="16" t="str">
        <x:v>Historic bathhouses and forested trails combine city and park experiences.</x:v>
      </x:c>
      <x:c r="H518" s="16" t="str">
        <x:v>National Park</x:v>
      </x:c>
      <x:c r="I518" s="16" t="str">
        <x:v>https://www.google.com/search?q=Hot%20Springs%20National%20Park%20Hot%20Springs%20Arkansas%20official%20website</x:v>
      </x:c>
      <x:c r="J518" s="16" t="str">
        <x:v>https://www.google.com/search?q=site%3Aarkansas.com%20Hot%20Springs%20National%20Park</x:v>
      </x:c>
      <x:c r="K518" s="16" t="str">
        <x:v>https://www.google.com/search?q=Hot%20Springs%20National%20Park%20Hot%20Springs%20Arkansas%20visitor%20information</x:v>
      </x:c>
      <x:c r="L518" s="16" t="str">
        <x:v>https://www.google.com/search?q=Hot%20Springs%20National%20Park%20Hot%20Springs%20Arkansas%20photos</x:v>
      </x:c>
      <x:c r="M518" s="16" t="str">
        <x:v>https://www.google.com/search?q=site%3Anps.gov%20Hot%20Springs%20National%20Park</x:v>
      </x:c>
      <x:c r="N518" s="16" t="str">
        <x:v>https://www.google.com/maps/search/?api=1&amp;query=Hot%20Springs%20National%20Park%2C%20Hot%20Springs%2C%20Arkansas</x:v>
      </x:c>
      <x:c r="O518" s="17" t="b">
        <x:v>1</x:v>
      </x:c>
      <x:c r="P518" s="16" t="b">
        <x:f>IFERROR(VLOOKUP(A518,States!$A$2:$B$49,2,FALSE),FALSE)</x:f>
        <x:v>1</x:v>
      </x:c>
      <x:c r="Q518" s="16" t="b">
        <x:f>AND(OR(O518=TRUE,O518="TRUE"),OR(P518=TRUE,P518="TRUE"))</x:f>
        <x:v>1</x:v>
      </x:c>
    </x:row>
    <x:row r="519">
      <x:c r="A519" s="16" t="str">
        <x:v>Arkansas</x:v>
      </x:c>
      <x:c r="B519" s="16" t="str">
        <x:v>Eureka Springs</x:v>
      </x:c>
      <x:c r="C519" s="16" t="n">
        <x:v>-93.739</x:v>
      </x:c>
      <x:c r="D519" s="16" t="n">
        <x:v>36.401</x:v>
      </x:c>
      <x:c r="E519" s="16" t="str">
        <x:v>Thorncrown Chapel</x:v>
      </x:c>
      <x:c r="F519" s="16" t="str">
        <x:v>Architecture fans, couples, scenic drivers</x:v>
      </x:c>
      <x:c r="G519" s="16" t="str">
        <x:v>A glass-and-wood chapel sits quietly in the Ozark forest.</x:v>
      </x:c>
      <x:c r="H519" s="16" t="str">
        <x:v>Architecture</x:v>
      </x:c>
      <x:c r="I519" s="16" t="str">
        <x:v>https://www.google.com/search?q=Thorncrown%20Chapel%20Eureka%20Springs%20Arkansas%20official%20website</x:v>
      </x:c>
      <x:c r="J519" s="16" t="str">
        <x:v>https://www.google.com/search?q=site%3Aarkansas.com%20Thorncrown%20Chapel</x:v>
      </x:c>
      <x:c r="K519" s="16" t="str">
        <x:v>https://www.google.com/search?q=Thorncrown%20Chapel%20Eureka%20Springs%20Arkansas%20visitor%20information</x:v>
      </x:c>
      <x:c r="L519" s="16" t="str">
        <x:v>https://www.google.com/search?q=Thorncrown%20Chapel%20Eureka%20Springs%20Arkansas%20photos</x:v>
      </x:c>
      <x:c r="M519" s="16" t="str">
        <x:v>https://www.google.com/search?q=Thorncrown%20Chapel%20Eureka%20Springs%20Arkansas%20wikipedia%20OR%20wikivoyage</x:v>
      </x:c>
      <x:c r="N519" s="16" t="str">
        <x:v>https://www.google.com/maps/search/?api=1&amp;query=Thorncrown%20Chapel%2C%20Eureka%20Springs%2C%20Arkansas</x:v>
      </x:c>
      <x:c r="O519" s="17" t="b">
        <x:v>1</x:v>
      </x:c>
      <x:c r="P519" s="16" t="b">
        <x:f>IFERROR(VLOOKUP(A519,States!$A$2:$B$49,2,FALSE),FALSE)</x:f>
        <x:v>1</x:v>
      </x:c>
      <x:c r="Q519" s="16" t="b">
        <x:f>AND(OR(O519=TRUE,O519="TRUE"),OR(P519=TRUE,P519="TRUE"))</x:f>
        <x:v>1</x:v>
      </x:c>
    </x:row>
    <x:row r="520">
      <x:c r="A520" s="16" t="str">
        <x:v>Arkansas</x:v>
      </x:c>
      <x:c r="B520" s="16" t="str">
        <x:v>Murfreesboro</x:v>
      </x:c>
      <x:c r="C520" s="16" t="n">
        <x:v>-93.676</x:v>
      </x:c>
      <x:c r="D520" s="16" t="n">
        <x:v>34.032</x:v>
      </x:c>
      <x:c r="E520" s="16" t="str">
        <x:v>Crater of Diamonds State Park</x:v>
      </x:c>
      <x:c r="F520" s="16" t="str">
        <x:v>Families, geology fans</x:v>
      </x:c>
      <x:c r="G520" s="16" t="str">
        <x:v>Visitors can search an open field for diamonds and keep what they find.</x:v>
      </x:c>
      <x:c r="H520" s="16" t="str">
        <x:v>Nature</x:v>
      </x:c>
      <x:c r="I520" s="16" t="str">
        <x:v>https://www.google.com/search?q=Crater%20of%20Diamonds%20State%20Park%20Murfreesboro%20Arkansas%20official%20website</x:v>
      </x:c>
      <x:c r="J520" s="16" t="str">
        <x:v>https://www.google.com/search?q=site%3Aarkansas.com%20Crater%20of%20Diamonds%20State%20Park</x:v>
      </x:c>
      <x:c r="K520" s="16" t="str">
        <x:v>https://www.google.com/search?q=Crater%20of%20Diamonds%20State%20Park%20Murfreesboro%20Arkansas%20visitor%20information</x:v>
      </x:c>
      <x:c r="L520" s="16" t="str">
        <x:v>https://www.google.com/search?q=Crater%20of%20Diamonds%20State%20Park%20Murfreesboro%20Arkansas%20photos</x:v>
      </x:c>
      <x:c r="M520" s="16" t="str">
        <x:v>https://www.google.com/search?q=Crater%20of%20Diamonds%20State%20Park%20Murfreesboro%20Arkansas%20wikipedia%20OR%20wikivoyage</x:v>
      </x:c>
      <x:c r="N520" s="16" t="str">
        <x:v>https://www.google.com/maps/search/?api=1&amp;query=Crater%20of%20Diamonds%20State%20Park%2C%20Murfreesboro%2C%20Arkansas</x:v>
      </x:c>
      <x:c r="O520" s="17" t="b">
        <x:v>1</x:v>
      </x:c>
      <x:c r="P520" s="16" t="b">
        <x:f>IFERROR(VLOOKUP(A520,States!$A$2:$B$49,2,FALSE),FALSE)</x:f>
        <x:v>1</x:v>
      </x:c>
      <x:c r="Q520" s="16" t="b">
        <x:f>AND(OR(O520=TRUE,O520="TRUE"),OR(P520=TRUE,P520="TRUE"))</x:f>
        <x:v>1</x:v>
      </x:c>
    </x:row>
    <x:row r="521">
      <x:c r="A521" s="16" t="str">
        <x:v>California</x:v>
      </x:c>
      <x:c r="B521" s="16" t="str">
        <x:v>Yosemite Valley</x:v>
      </x:c>
      <x:c r="C521" s="16" t="n">
        <x:v>-119.593</x:v>
      </x:c>
      <x:c r="D521" s="16" t="n">
        <x:v>37.745</x:v>
      </x:c>
      <x:c r="E521" s="16" t="str">
        <x:v>Yosemite National Park</x:v>
      </x:c>
      <x:c r="F521" s="16" t="str">
        <x:v>Hikers, photographers, families</x:v>
      </x:c>
      <x:c r="G521" s="16" t="str">
        <x:v>Granite cliffs, waterfalls, and giant sequoias make a classic Sierra stop.</x:v>
      </x:c>
      <x:c r="H521" s="16" t="str">
        <x:v>National Park</x:v>
      </x:c>
      <x:c r="I521" s="16" t="str">
        <x:v>https://www.google.com/search?q=Yosemite%20National%20Park%20Yosemite%20Valley%20California%20official%20website</x:v>
      </x:c>
      <x:c r="J521" s="16" t="str">
        <x:v>https://www.google.com/search?q=site%3Avisitcalifornia.com%20Yosemite%20National%20Park</x:v>
      </x:c>
      <x:c r="K521" s="16" t="str">
        <x:v>https://www.google.com/search?q=Yosemite%20National%20Park%20Yosemite%20Valley%20California%20visitor%20information</x:v>
      </x:c>
      <x:c r="L521" s="16" t="str">
        <x:v>https://www.google.com/search?q=Yosemite%20National%20Park%20Yosemite%20Valley%20California%20photos</x:v>
      </x:c>
      <x:c r="M521" s="16" t="str">
        <x:v>https://www.google.com/search?q=site%3Anps.gov%20Yosemite%20National%20Park</x:v>
      </x:c>
      <x:c r="N521" s="16" t="str">
        <x:v>https://www.google.com/maps/search/?api=1&amp;query=Yosemite%20National%20Park%2C%20Yosemite%20Valley%2C%20California</x:v>
      </x:c>
      <x:c r="O521" s="17" t="b">
        <x:v>1</x:v>
      </x:c>
      <x:c r="P521" s="16" t="b">
        <x:f>IFERROR(VLOOKUP(A521,States!$A$2:$B$49,2,FALSE),FALSE)</x:f>
        <x:v>1</x:v>
      </x:c>
      <x:c r="Q521" s="16" t="b">
        <x:f>AND(OR(O521=TRUE,O521="TRUE"),OR(P521=TRUE,P521="TRUE"))</x:f>
        <x:v>1</x:v>
      </x:c>
    </x:row>
    <x:row r="522">
      <x:c r="A522" s="16" t="str">
        <x:v>California</x:v>
      </x:c>
      <x:c r="B522" s="16" t="str">
        <x:v>San Francisco</x:v>
      </x:c>
      <x:c r="C522" s="16" t="n">
        <x:v>-122.478</x:v>
      </x:c>
      <x:c r="D522" s="16" t="n">
        <x:v>37.819</x:v>
      </x:c>
      <x:c r="E522" s="16" t="str">
        <x:v>Golden Gate Bridge</x:v>
      </x:c>
      <x:c r="F522" s="16" t="str">
        <x:v>First-time visitors, walkers, photographers</x:v>
      </x:c>
      <x:c r="G522" s="16" t="str">
        <x:v>The landmark bridge frames bay, city, and coastal views.</x:v>
      </x:c>
      <x:c r="H522" s="16" t="str">
        <x:v>Landmark</x:v>
      </x:c>
      <x:c r="I522" s="16" t="str">
        <x:v>https://www.google.com/search?q=Golden%20Gate%20Bridge%20San%20Francisco%20California%20official%20website</x:v>
      </x:c>
      <x:c r="J522" s="16" t="str">
        <x:v>https://www.google.com/search?q=site%3Avisitcalifornia.com%20Golden%20Gate%20Bridge</x:v>
      </x:c>
      <x:c r="K522" s="16" t="str">
        <x:v>https://www.google.com/search?q=Golden%20Gate%20Bridge%20San%20Francisco%20California%20visitor%20information</x:v>
      </x:c>
      <x:c r="L522" s="16" t="str">
        <x:v>https://www.google.com/search?q=Golden%20Gate%20Bridge%20San%20Francisco%20California%20photos</x:v>
      </x:c>
      <x:c r="M522" s="16" t="str">
        <x:v>https://www.google.com/search?q=Golden%20Gate%20Bridge%20San%20Francisco%20California%20wikipedia%20OR%20wikivoyage</x:v>
      </x:c>
      <x:c r="N522" s="16" t="str">
        <x:v>https://www.google.com/maps/search/?api=1&amp;query=Golden%20Gate%20Bridge%2C%20San%20Francisco%2C%20California</x:v>
      </x:c>
      <x:c r="O522" s="17" t="b">
        <x:v>1</x:v>
      </x:c>
      <x:c r="P522" s="16" t="b">
        <x:f>IFERROR(VLOOKUP(A522,States!$A$2:$B$49,2,FALSE),FALSE)</x:f>
        <x:v>1</x:v>
      </x:c>
      <x:c r="Q522" s="16" t="b">
        <x:f>AND(OR(O522=TRUE,O522="TRUE"),OR(P522=TRUE,P522="TRUE"))</x:f>
        <x:v>1</x:v>
      </x:c>
    </x:row>
    <x:row r="523">
      <x:c r="A523" s="16" t="str">
        <x:v>California</x:v>
      </x:c>
      <x:c r="B523" s="16" t="str">
        <x:v>Monterey</x:v>
      </x:c>
      <x:c r="C523" s="16" t="n">
        <x:v>-121.901</x:v>
      </x:c>
      <x:c r="D523" s="16" t="n">
        <x:v>36.618</x:v>
      </x:c>
      <x:c r="E523" s="16" t="str">
        <x:v>Monterey Bay Aquarium</x:v>
      </x:c>
      <x:c r="F523" s="16" t="str">
        <x:v>Families, marine-life fans</x:v>
      </x:c>
      <x:c r="G523" s="16" t="str">
        <x:v>World-class marine exhibits connect visitors to Pacific Ocean ecology.</x:v>
      </x:c>
      <x:c r="H523" s="16" t="str">
        <x:v>Zoo/Aquarium</x:v>
      </x:c>
      <x:c r="I523" s="16" t="str">
        <x:v>https://www.google.com/search?q=Monterey%20Bay%20Aquarium%20Monterey%20California%20official%20website</x:v>
      </x:c>
      <x:c r="J523" s="16" t="str">
        <x:v>https://www.google.com/search?q=site%3Avisitcalifornia.com%20Monterey%20Bay%20Aquarium</x:v>
      </x:c>
      <x:c r="K523" s="16" t="str">
        <x:v>https://www.google.com/search?q=Monterey%20Bay%20Aquarium%20Monterey%20California%20visitor%20information</x:v>
      </x:c>
      <x:c r="L523" s="16" t="str">
        <x:v>https://www.google.com/search?q=Monterey%20Bay%20Aquarium%20Monterey%20California%20photos</x:v>
      </x:c>
      <x:c r="M523" s="16" t="str">
        <x:v>https://www.google.com/search?q=Monterey%20Bay%20Aquarium%20Monterey%20California%20wikipedia%20OR%20wikivoyage</x:v>
      </x:c>
      <x:c r="N523" s="16" t="str">
        <x:v>https://www.google.com/maps/search/?api=1&amp;query=Monterey%20Bay%20Aquarium%2C%20Monterey%2C%20California</x:v>
      </x:c>
      <x:c r="O523" s="17" t="b">
        <x:v>1</x:v>
      </x:c>
      <x:c r="P523" s="16" t="b">
        <x:f>IFERROR(VLOOKUP(A523,States!$A$2:$B$49,2,FALSE),FALSE)</x:f>
        <x:v>1</x:v>
      </x:c>
      <x:c r="Q523" s="16" t="b">
        <x:f>AND(OR(O523=TRUE,O523="TRUE"),OR(P523=TRUE,P523="TRUE"))</x:f>
        <x:v>1</x:v>
      </x:c>
    </x:row>
    <x:row r="524">
      <x:c r="A524" s="16" t="str">
        <x:v>Colorado</x:v>
      </x:c>
      <x:c r="B524" s="16" t="str">
        <x:v>Estes Park</x:v>
      </x:c>
      <x:c r="C524" s="16" t="n">
        <x:v>-105.683</x:v>
      </x:c>
      <x:c r="D524" s="16" t="n">
        <x:v>40.343</x:v>
      </x:c>
      <x:c r="E524" s="16" t="str">
        <x:v>Rocky Mountain National Park</x:v>
      </x:c>
      <x:c r="F524" s="16" t="str">
        <x:v>Hikers, wildlife watchers, scenic drivers</x:v>
      </x:c>
      <x:c r="G524" s="16" t="str">
        <x:v>Alpine roads, lakes, and wildlife make a high-country centerpiece.</x:v>
      </x:c>
      <x:c r="H524" s="16" t="str">
        <x:v>National Park</x:v>
      </x:c>
      <x:c r="I524" s="16" t="str">
        <x:v>https://www.google.com/search?q=Rocky%20Mountain%20National%20Park%20Estes%20Park%20Colorado%20official%20website</x:v>
      </x:c>
      <x:c r="J524" s="16" t="str">
        <x:v>https://www.google.com/search?q=site%3Acolorado.com%20Rocky%20Mountain%20National%20Park</x:v>
      </x:c>
      <x:c r="K524" s="16" t="str">
        <x:v>https://www.google.com/search?q=Rocky%20Mountain%20National%20Park%20Estes%20Park%20Colorado%20visitor%20information</x:v>
      </x:c>
      <x:c r="L524" s="16" t="str">
        <x:v>https://www.google.com/search?q=Rocky%20Mountain%20National%20Park%20Estes%20Park%20Colorado%20photos</x:v>
      </x:c>
      <x:c r="M524" s="16" t="str">
        <x:v>https://www.google.com/search?q=site%3Anps.gov%20Rocky%20Mountain%20National%20Park</x:v>
      </x:c>
      <x:c r="N524" s="16" t="str">
        <x:v>https://www.google.com/maps/search/?api=1&amp;query=Rocky%20Mountain%20National%20Park%2C%20Estes%20Park%2C%20Colorado</x:v>
      </x:c>
      <x:c r="O524" s="17" t="b">
        <x:v>1</x:v>
      </x:c>
      <x:c r="P524" s="16" t="b">
        <x:f>IFERROR(VLOOKUP(A524,States!$A$2:$B$49,2,FALSE),FALSE)</x:f>
        <x:v>1</x:v>
      </x:c>
      <x:c r="Q524" s="16" t="b">
        <x:f>AND(OR(O524=TRUE,O524="TRUE"),OR(P524=TRUE,P524="TRUE"))</x:f>
        <x:v>1</x:v>
      </x:c>
    </x:row>
    <x:row r="525">
      <x:c r="A525" s="16" t="str">
        <x:v>Colorado</x:v>
      </x:c>
      <x:c r="B525" s="16" t="str">
        <x:v>Colorado Springs</x:v>
      </x:c>
      <x:c r="C525" s="16" t="n">
        <x:v>-104.88</x:v>
      </x:c>
      <x:c r="D525" s="16" t="n">
        <x:v>38.878</x:v>
      </x:c>
      <x:c r="E525" s="16" t="str">
        <x:v>Garden of the Gods</x:v>
      </x:c>
      <x:c r="F525" s="16" t="str">
        <x:v>Families, hikers, photographers</x:v>
      </x:c>
      <x:c r="G525" s="16" t="str">
        <x:v>Red sandstone formations rise dramatically against Front Range peaks.</x:v>
      </x:c>
      <x:c r="H525" s="16" t="str">
        <x:v>Nature</x:v>
      </x:c>
      <x:c r="I525" s="16" t="str">
        <x:v>https://www.google.com/search?q=Garden%20of%20the%20Gods%20Colorado%20Springs%20Colorado%20official%20website</x:v>
      </x:c>
      <x:c r="J525" s="16" t="str">
        <x:v>https://www.google.com/search?q=site%3Acolorado.com%20Garden%20of%20the%20Gods</x:v>
      </x:c>
      <x:c r="K525" s="16" t="str">
        <x:v>https://www.google.com/search?q=Garden%20of%20the%20Gods%20Colorado%20Springs%20Colorado%20visitor%20information</x:v>
      </x:c>
      <x:c r="L525" s="16" t="str">
        <x:v>https://www.google.com/search?q=Garden%20of%20the%20Gods%20Colorado%20Springs%20Colorado%20photos</x:v>
      </x:c>
      <x:c r="M525" s="16" t="str">
        <x:v>https://www.google.com/search?q=Garden%20of%20the%20Gods%20Colorado%20Springs%20Colorado%20wikipedia%20OR%20wikivoyage</x:v>
      </x:c>
      <x:c r="N525" s="16" t="str">
        <x:v>https://www.google.com/maps/search/?api=1&amp;query=Garden%20of%20the%20Gods%2C%20Colorado%20Springs%2C%20Colorado</x:v>
      </x:c>
      <x:c r="O525" s="17" t="b">
        <x:v>1</x:v>
      </x:c>
      <x:c r="P525" s="16" t="b">
        <x:f>IFERROR(VLOOKUP(A525,States!$A$2:$B$49,2,FALSE),FALSE)</x:f>
        <x:v>1</x:v>
      </x:c>
      <x:c r="Q525" s="16" t="b">
        <x:f>AND(OR(O525=TRUE,O525="TRUE"),OR(P525=TRUE,P525="TRUE"))</x:f>
        <x:v>1</x:v>
      </x:c>
    </x:row>
    <x:row r="526">
      <x:c r="A526" s="16" t="str">
        <x:v>Colorado</x:v>
      </x:c>
      <x:c r="B526" s="16" t="str">
        <x:v>Mesa Verde</x:v>
      </x:c>
      <x:c r="C526" s="16" t="n">
        <x:v>-108.462</x:v>
      </x:c>
      <x:c r="D526" s="16" t="n">
        <x:v>37.231</x:v>
      </x:c>
      <x:c r="E526" s="16" t="str">
        <x:v>Mesa Verde National Park</x:v>
      </x:c>
      <x:c r="F526" s="16" t="str">
        <x:v>History travelers, families</x:v>
      </x:c>
      <x:c r="G526" s="16" t="str">
        <x:v>Cliff dwellings preserve extraordinary Ancestral Puebloan architecture.</x:v>
      </x:c>
      <x:c r="H526" s="16" t="str">
        <x:v>National Park</x:v>
      </x:c>
      <x:c r="I526" s="16" t="str">
        <x:v>https://www.google.com/search?q=Mesa%20Verde%20National%20Park%20Mesa%20Verde%20Colorado%20official%20website</x:v>
      </x:c>
      <x:c r="J526" s="16" t="str">
        <x:v>https://www.google.com/search?q=site%3Acolorado.com%20Mesa%20Verde%20National%20Park</x:v>
      </x:c>
      <x:c r="K526" s="16" t="str">
        <x:v>https://www.google.com/search?q=Mesa%20Verde%20National%20Park%20Mesa%20Verde%20Colorado%20visitor%20information</x:v>
      </x:c>
      <x:c r="L526" s="16" t="str">
        <x:v>https://www.google.com/search?q=Mesa%20Verde%20National%20Park%20Mesa%20Verde%20Colorado%20photos</x:v>
      </x:c>
      <x:c r="M526" s="16" t="str">
        <x:v>https://www.google.com/search?q=site%3Anps.gov%20Mesa%20Verde%20National%20Park</x:v>
      </x:c>
      <x:c r="N526" s="16" t="str">
        <x:v>https://www.google.com/maps/search/?api=1&amp;query=Mesa%20Verde%20National%20Park%2C%20Mesa%20Verde%2C%20Colorado</x:v>
      </x:c>
      <x:c r="O526" s="17" t="b">
        <x:v>1</x:v>
      </x:c>
      <x:c r="P526" s="16" t="b">
        <x:f>IFERROR(VLOOKUP(A526,States!$A$2:$B$49,2,FALSE),FALSE)</x:f>
        <x:v>1</x:v>
      </x:c>
      <x:c r="Q526" s="16" t="b">
        <x:f>AND(OR(O526=TRUE,O526="TRUE"),OR(P526=TRUE,P526="TRUE"))</x:f>
        <x:v>1</x:v>
      </x:c>
    </x:row>
    <x:row r="527">
      <x:c r="A527" s="16" t="str">
        <x:v>Connecticut</x:v>
      </x:c>
      <x:c r="B527" s="16" t="str">
        <x:v>Mystic</x:v>
      </x:c>
      <x:c r="C527" s="16" t="n">
        <x:v>-71.963</x:v>
      </x:c>
      <x:c r="D527" s="16" t="n">
        <x:v>41.356</x:v>
      </x:c>
      <x:c r="E527" s="16" t="str">
        <x:v>Mystic Seaport Museum</x:v>
      </x:c>
      <x:c r="F527" s="16" t="str">
        <x:v>Families, maritime-history fans</x:v>
      </x:c>
      <x:c r="G527" s="16" t="str">
        <x:v>Historic ships and waterfront exhibits tell New England maritime stories.</x:v>
      </x:c>
      <x:c r="H527" s="16" t="str">
        <x:v>Museum</x:v>
      </x:c>
      <x:c r="I527" s="16" t="str">
        <x:v>https://www.google.com/search?q=Mystic%20Seaport%20Museum%20Mystic%20Connecticut%20official%20website</x:v>
      </x:c>
      <x:c r="J527" s="16" t="str">
        <x:v>https://www.google.com/search?q=site%3Actvisit.com%20Mystic%20Seaport%20Museum</x:v>
      </x:c>
      <x:c r="K527" s="16" t="str">
        <x:v>https://www.google.com/search?q=Mystic%20Seaport%20Museum%20Mystic%20Connecticut%20visitor%20information</x:v>
      </x:c>
      <x:c r="L527" s="16" t="str">
        <x:v>https://www.google.com/search?q=Mystic%20Seaport%20Museum%20Mystic%20Connecticut%20photos</x:v>
      </x:c>
      <x:c r="M527" s="16" t="str">
        <x:v>https://www.google.com/search?q=Mystic%20Seaport%20Museum%20Mystic%20Connecticut%20wikipedia%20OR%20wikivoyage</x:v>
      </x:c>
      <x:c r="N527" s="16" t="str">
        <x:v>https://www.google.com/maps/search/?api=1&amp;query=Mystic%20Seaport%20Museum%2C%20Mystic%2C%20Connecticut</x:v>
      </x:c>
      <x:c r="O527" s="17" t="b">
        <x:v>1</x:v>
      </x:c>
      <x:c r="P527" s="16" t="b">
        <x:f>IFERROR(VLOOKUP(A527,States!$A$2:$B$49,2,FALSE),FALSE)</x:f>
        <x:v>1</x:v>
      </x:c>
      <x:c r="Q527" s="16" t="b">
        <x:f>AND(OR(O527=TRUE,O527="TRUE"),OR(P527=TRUE,P527="TRUE"))</x:f>
        <x:v>1</x:v>
      </x:c>
    </x:row>
    <x:row r="528">
      <x:c r="A528" s="16" t="str">
        <x:v>Connecticut</x:v>
      </x:c>
      <x:c r="B528" s="16" t="str">
        <x:v>New Haven</x:v>
      </x:c>
      <x:c r="C528" s="16" t="n">
        <x:v>-72.931</x:v>
      </x:c>
      <x:c r="D528" s="16" t="n">
        <x:v>41.309</x:v>
      </x:c>
      <x:c r="E528" s="16" t="str">
        <x:v>Yale University Art Gallery</x:v>
      </x:c>
      <x:c r="F528" s="16" t="str">
        <x:v>Art lovers, college-town travelers</x:v>
      </x:c>
      <x:c r="G528" s="16" t="str">
        <x:v>A major free art collection anchors a walkable campus visit.</x:v>
      </x:c>
      <x:c r="H528" s="16" t="str">
        <x:v>Museum</x:v>
      </x:c>
      <x:c r="I528" s="16" t="str">
        <x:v>https://www.google.com/search?q=Yale%20University%20Art%20Gallery%20New%20Haven%20Connecticut%20official%20website</x:v>
      </x:c>
      <x:c r="J528" s="16" t="str">
        <x:v>https://www.google.com/search?q=site%3Actvisit.com%20Yale%20University%20Art%20Gallery</x:v>
      </x:c>
      <x:c r="K528" s="16" t="str">
        <x:v>https://www.google.com/search?q=Yale%20University%20Art%20Gallery%20New%20Haven%20Connecticut%20visitor%20information</x:v>
      </x:c>
      <x:c r="L528" s="16" t="str">
        <x:v>https://www.google.com/search?q=Yale%20University%20Art%20Gallery%20New%20Haven%20Connecticut%20photos</x:v>
      </x:c>
      <x:c r="M528" s="16" t="str">
        <x:v>https://www.google.com/search?q=Yale%20University%20Art%20Gallery%20New%20Haven%20Connecticut%20wikipedia%20OR%20wikivoyage</x:v>
      </x:c>
      <x:c r="N528" s="16" t="str">
        <x:v>https://www.google.com/maps/search/?api=1&amp;query=Yale%20University%20Art%20Gallery%2C%20New%20Haven%2C%20Connecticut</x:v>
      </x:c>
      <x:c r="O528" s="17" t="b">
        <x:v>1</x:v>
      </x:c>
      <x:c r="P528" s="16" t="b">
        <x:f>IFERROR(VLOOKUP(A528,States!$A$2:$B$49,2,FALSE),FALSE)</x:f>
        <x:v>1</x:v>
      </x:c>
      <x:c r="Q528" s="16" t="b">
        <x:f>AND(OR(O528=TRUE,O528="TRUE"),OR(P528=TRUE,P528="TRUE"))</x:f>
        <x:v>1</x:v>
      </x:c>
    </x:row>
    <x:row r="529">
      <x:c r="A529" s="16" t="str">
        <x:v>Connecticut</x:v>
      </x:c>
      <x:c r="B529" s="16" t="str">
        <x:v>East Haddam</x:v>
      </x:c>
      <x:c r="C529" s="16" t="n">
        <x:v>-72.344</x:v>
      </x:c>
      <x:c r="D529" s="16" t="n">
        <x:v>41.452</x:v>
      </x:c>
      <x:c r="E529" s="16" t="str">
        <x:v>Gillette Castle State Park</x:v>
      </x:c>
      <x:c r="F529" s="16" t="str">
        <x:v>Families, architecture fans</x:v>
      </x:c>
      <x:c r="G529" s="16" t="str">
        <x:v>A quirky stone castle overlooks the Connecticut River valley.</x:v>
      </x:c>
      <x:c r="H529" s="16" t="str">
        <x:v>Historic Site</x:v>
      </x:c>
      <x:c r="I529" s="16" t="str">
        <x:v>https://www.google.com/search?q=Gillette%20Castle%20State%20Park%20East%20Haddam%20Connecticut%20official%20website</x:v>
      </x:c>
      <x:c r="J529" s="16" t="str">
        <x:v>https://www.google.com/search?q=site%3Actvisit.com%20Gillette%20Castle%20State%20Park</x:v>
      </x:c>
      <x:c r="K529" s="16" t="str">
        <x:v>https://www.google.com/search?q=Gillette%20Castle%20State%20Park%20East%20Haddam%20Connecticut%20visitor%20information</x:v>
      </x:c>
      <x:c r="L529" s="16" t="str">
        <x:v>https://www.google.com/search?q=Gillette%20Castle%20State%20Park%20East%20Haddam%20Connecticut%20photos</x:v>
      </x:c>
      <x:c r="M529" s="16" t="str">
        <x:v>https://www.google.com/search?q=Gillette%20Castle%20State%20Park%20East%20Haddam%20Connecticut%20wikipedia%20OR%20wikivoyage</x:v>
      </x:c>
      <x:c r="N529" s="16" t="str">
        <x:v>https://www.google.com/maps/search/?api=1&amp;query=Gillette%20Castle%20State%20Park%2C%20East%20Haddam%2C%20Connecticut</x:v>
      </x:c>
      <x:c r="O529" s="17" t="b">
        <x:v>1</x:v>
      </x:c>
      <x:c r="P529" s="16" t="b">
        <x:f>IFERROR(VLOOKUP(A529,States!$A$2:$B$49,2,FALSE),FALSE)</x:f>
        <x:v>1</x:v>
      </x:c>
      <x:c r="Q529" s="16" t="b">
        <x:f>AND(OR(O529=TRUE,O529="TRUE"),OR(P529=TRUE,P529="TRUE"))</x:f>
        <x:v>1</x:v>
      </x:c>
    </x:row>
    <x:row r="530">
      <x:c r="A530" s="16" t="str">
        <x:v>Delaware</x:v>
      </x:c>
      <x:c r="B530" s="16" t="str">
        <x:v>Rehoboth Beach</x:v>
      </x:c>
      <x:c r="C530" s="16" t="n">
        <x:v>-75.077</x:v>
      </x:c>
      <x:c r="D530" s="16" t="n">
        <x:v>38.716</x:v>
      </x:c>
      <x:c r="E530" s="16" t="str">
        <x:v>Rehoboth Beach Boardwalk</x:v>
      </x:c>
      <x:c r="F530" s="16" t="str">
        <x:v>Beachgoers, families, food lovers</x:v>
      </x:c>
      <x:c r="G530" s="16" t="str">
        <x:v>A classic beach boardwalk mixes sand, shops, arcades, and dining.</x:v>
      </x:c>
      <x:c r="H530" s="16" t="str">
        <x:v>Beach</x:v>
      </x:c>
      <x:c r="I530" s="16" t="str">
        <x:v>https://www.google.com/search?q=Rehoboth%20Beach%20Boardwalk%20Rehoboth%20Beach%20Delaware%20official%20website</x:v>
      </x:c>
      <x:c r="J530" s="16" t="str">
        <x:v>https://www.google.com/search?q=site%3Avisitdelaware.com%20Rehoboth%20Beach%20Boardwalk</x:v>
      </x:c>
      <x:c r="K530" s="16" t="str">
        <x:v>https://www.google.com/search?q=Rehoboth%20Beach%20Boardwalk%20Rehoboth%20Beach%20Delaware%20visitor%20information</x:v>
      </x:c>
      <x:c r="L530" s="16" t="str">
        <x:v>https://www.google.com/search?q=Rehoboth%20Beach%20Boardwalk%20Rehoboth%20Beach%20Delaware%20photos</x:v>
      </x:c>
      <x:c r="M530" s="16" t="str">
        <x:v>https://www.google.com/search?q=Rehoboth%20Beach%20Boardwalk%20Rehoboth%20Beach%20Delaware%20wikipedia%20OR%20wikivoyage</x:v>
      </x:c>
      <x:c r="N530" s="16" t="str">
        <x:v>https://www.google.com/maps/search/?api=1&amp;query=Rehoboth%20Beach%20Boardwalk%2C%20Rehoboth%20Beach%2C%20Delaware</x:v>
      </x:c>
      <x:c r="O530" s="17" t="b">
        <x:v>1</x:v>
      </x:c>
      <x:c r="P530" s="16" t="b">
        <x:f>IFERROR(VLOOKUP(A530,States!$A$2:$B$49,2,FALSE),FALSE)</x:f>
        <x:v>1</x:v>
      </x:c>
      <x:c r="Q530" s="16" t="b">
        <x:f>AND(OR(O530=TRUE,O530="TRUE"),OR(P530=TRUE,P530="TRUE"))</x:f>
        <x:v>1</x:v>
      </x:c>
    </x:row>
    <x:row r="531">
      <x:c r="A531" s="16" t="str">
        <x:v>Delaware</x:v>
      </x:c>
      <x:c r="B531" s="16" t="str">
        <x:v>Wilmington</x:v>
      </x:c>
      <x:c r="C531" s="16" t="n">
        <x:v>-75.609</x:v>
      </x:c>
      <x:c r="D531" s="16" t="n">
        <x:v>39.803</x:v>
      </x:c>
      <x:c r="E531" s="16" t="str">
        <x:v>Nemours Estate</x:v>
      </x:c>
      <x:c r="F531" s="16" t="str">
        <x:v>Garden lovers, architecture fans</x:v>
      </x:c>
      <x:c r="G531" s="16" t="str">
        <x:v>A grand mansion and formal gardens create an elegant Brandywine Valley stop.</x:v>
      </x:c>
      <x:c r="H531" s="16" t="str">
        <x:v>Historic Site</x:v>
      </x:c>
      <x:c r="I531" s="16" t="str">
        <x:v>https://www.google.com/search?q=Nemours%20Estate%20Wilmington%20Delaware%20official%20website</x:v>
      </x:c>
      <x:c r="J531" s="16" t="str">
        <x:v>https://www.google.com/search?q=site%3Avisitdelaware.com%20Nemours%20Estate</x:v>
      </x:c>
      <x:c r="K531" s="16" t="str">
        <x:v>https://www.google.com/search?q=Nemours%20Estate%20Wilmington%20Delaware%20visitor%20information</x:v>
      </x:c>
      <x:c r="L531" s="16" t="str">
        <x:v>https://www.google.com/search?q=Nemours%20Estate%20Wilmington%20Delaware%20photos</x:v>
      </x:c>
      <x:c r="M531" s="16" t="str">
        <x:v>https://www.google.com/search?q=Nemours%20Estate%20Wilmington%20Delaware%20wikipedia%20OR%20wikivoyage</x:v>
      </x:c>
      <x:c r="N531" s="16" t="str">
        <x:v>https://www.google.com/maps/search/?api=1&amp;query=Nemours%20Estate%2C%20Wilmington%2C%20Delaware</x:v>
      </x:c>
      <x:c r="O531" s="17" t="b">
        <x:v>1</x:v>
      </x:c>
      <x:c r="P531" s="16" t="b">
        <x:f>IFERROR(VLOOKUP(A531,States!$A$2:$B$49,2,FALSE),FALSE)</x:f>
        <x:v>1</x:v>
      </x:c>
      <x:c r="Q531" s="16" t="b">
        <x:f>AND(OR(O531=TRUE,O531="TRUE"),OR(P531=TRUE,P531="TRUE"))</x:f>
        <x:v>1</x:v>
      </x:c>
    </x:row>
    <x:row r="532">
      <x:c r="A532" s="16" t="str">
        <x:v>Delaware</x:v>
      </x:c>
      <x:c r="B532" s="16" t="str">
        <x:v>Lewes</x:v>
      </x:c>
      <x:c r="C532" s="16" t="n">
        <x:v>-75.119</x:v>
      </x:c>
      <x:c r="D532" s="16" t="n">
        <x:v>38.782</x:v>
      </x:c>
      <x:c r="E532" s="16" t="str">
        <x:v>Cape Henlopen State Park</x:v>
      </x:c>
      <x:c r="F532" s="16" t="str">
        <x:v>Beachgoers, birders, cyclists</x:v>
      </x:c>
      <x:c r="G532" s="16" t="str">
        <x:v>Atlantic beaches, dunes, trails, and wartime history fill a coastal park.</x:v>
      </x:c>
      <x:c r="H532" s="16" t="str">
        <x:v>Nature</x:v>
      </x:c>
      <x:c r="I532" s="16" t="str">
        <x:v>https://www.google.com/search?q=Cape%20Henlopen%20State%20Park%20Lewes%20Delaware%20official%20website</x:v>
      </x:c>
      <x:c r="J532" s="16" t="str">
        <x:v>https://www.google.com/search?q=site%3Avisitdelaware.com%20Cape%20Henlopen%20State%20Park</x:v>
      </x:c>
      <x:c r="K532" s="16" t="str">
        <x:v>https://www.google.com/search?q=Cape%20Henlopen%20State%20Park%20Lewes%20Delaware%20visitor%20information</x:v>
      </x:c>
      <x:c r="L532" s="16" t="str">
        <x:v>https://www.google.com/search?q=Cape%20Henlopen%20State%20Park%20Lewes%20Delaware%20photos</x:v>
      </x:c>
      <x:c r="M532" s="16" t="str">
        <x:v>https://www.google.com/search?q=Cape%20Henlopen%20State%20Park%20Lewes%20Delaware%20wikipedia%20OR%20wikivoyage</x:v>
      </x:c>
      <x:c r="N532" s="16" t="str">
        <x:v>https://www.google.com/maps/search/?api=1&amp;query=Cape%20Henlopen%20State%20Park%2C%20Lewes%2C%20Delaware</x:v>
      </x:c>
      <x:c r="O532" s="17" t="b">
        <x:v>1</x:v>
      </x:c>
      <x:c r="P532" s="16" t="b">
        <x:f>IFERROR(VLOOKUP(A532,States!$A$2:$B$49,2,FALSE),FALSE)</x:f>
        <x:v>1</x:v>
      </x:c>
      <x:c r="Q532" s="16" t="b">
        <x:f>AND(OR(O532=TRUE,O532="TRUE"),OR(P532=TRUE,P532="TRUE"))</x:f>
        <x:v>1</x:v>
      </x:c>
    </x:row>
    <x:row r="533">
      <x:c r="A533" s="16" t="str">
        <x:v>Florida</x:v>
      </x:c>
      <x:c r="B533" s="16" t="str">
        <x:v>Homestead</x:v>
      </x:c>
      <x:c r="C533" s="16" t="n">
        <x:v>-80.899</x:v>
      </x:c>
      <x:c r="D533" s="16" t="n">
        <x:v>25.286</x:v>
      </x:c>
      <x:c r="E533" s="16" t="str">
        <x:v>Everglades National Park</x:v>
      </x:c>
      <x:c r="F533" s="16" t="str">
        <x:v>Wildlife watchers, families, paddlers</x:v>
      </x:c>
      <x:c r="G533" s="16" t="str">
        <x:v>Wetlands, mangroves, birds, and alligators create a unique subtropical park.</x:v>
      </x:c>
      <x:c r="H533" s="16" t="str">
        <x:v>National Park</x:v>
      </x:c>
      <x:c r="I533" s="16" t="str">
        <x:v>https://www.google.com/search?q=Everglades%20National%20Park%20Homestead%20Florida%20official%20website</x:v>
      </x:c>
      <x:c r="J533" s="16" t="str">
        <x:v>https://www.google.com/search?q=site%3Avisitflorida.com%20Everglades%20National%20Park</x:v>
      </x:c>
      <x:c r="K533" s="16" t="str">
        <x:v>https://www.google.com/search?q=Everglades%20National%20Park%20Homestead%20Florida%20visitor%20information</x:v>
      </x:c>
      <x:c r="L533" s="16" t="str">
        <x:v>https://www.google.com/search?q=Everglades%20National%20Park%20Homestead%20Florida%20photos</x:v>
      </x:c>
      <x:c r="M533" s="16" t="str">
        <x:v>https://www.google.com/search?q=site%3Anps.gov%20Everglades%20National%20Park</x:v>
      </x:c>
      <x:c r="N533" s="16" t="str">
        <x:v>https://www.google.com/maps/search/?api=1&amp;query=Everglades%20National%20Park%2C%20Homestead%2C%20Florida</x:v>
      </x:c>
      <x:c r="O533" s="17" t="b">
        <x:v>1</x:v>
      </x:c>
      <x:c r="P533" s="16" t="b">
        <x:f>IFERROR(VLOOKUP(A533,States!$A$2:$B$49,2,FALSE),FALSE)</x:f>
        <x:v>1</x:v>
      </x:c>
      <x:c r="Q533" s="16" t="b">
        <x:f>AND(OR(O533=TRUE,O533="TRUE"),OR(P533=TRUE,P533="TRUE"))</x:f>
        <x:v>1</x:v>
      </x:c>
    </x:row>
    <x:row r="534">
      <x:c r="A534" s="16" t="str">
        <x:v>Florida</x:v>
      </x:c>
      <x:c r="B534" s="16" t="str">
        <x:v>Orlando</x:v>
      </x:c>
      <x:c r="C534" s="16" t="n">
        <x:v>-81.549</x:v>
      </x:c>
      <x:c r="D534" s="16" t="n">
        <x:v>28.418</x:v>
      </x:c>
      <x:c r="E534" s="16" t="str">
        <x:v>Walt Disney World Resort</x:v>
      </x:c>
      <x:c r="F534" s="16" t="str">
        <x:v>Families, theme-park fans</x:v>
      </x:c>
      <x:c r="G534" s="16" t="str">
        <x:v>Large-scale themed parks and resorts make Orlando a major family destination.</x:v>
      </x:c>
      <x:c r="H534" s="16" t="str">
        <x:v>Theme Park</x:v>
      </x:c>
      <x:c r="I534" s="16" t="str">
        <x:v>https://www.google.com/search?q=Walt%20Disney%20World%20Resort%20Orlando%20Florida%20official%20website</x:v>
      </x:c>
      <x:c r="J534" s="16" t="str">
        <x:v>https://www.google.com/search?q=site%3Avisitflorida.com%20Walt%20Disney%20World%20Resort</x:v>
      </x:c>
      <x:c r="K534" s="16" t="str">
        <x:v>https://www.google.com/search?q=Walt%20Disney%20World%20Resort%20Orlando%20Florida%20visitor%20information</x:v>
      </x:c>
      <x:c r="L534" s="16" t="str">
        <x:v>https://www.google.com/search?q=Walt%20Disney%20World%20Resort%20Orlando%20Florida%20photos</x:v>
      </x:c>
      <x:c r="M534" s="16" t="str">
        <x:v>https://www.google.com/search?q=Walt%20Disney%20World%20Resort%20Orlando%20Florida%20wikipedia%20OR%20wikivoyage</x:v>
      </x:c>
      <x:c r="N534" s="16" t="str">
        <x:v>https://www.google.com/maps/search/?api=1&amp;query=Walt%20Disney%20World%20Resort%2C%20Orlando%2C%20Florida</x:v>
      </x:c>
      <x:c r="O534" s="17" t="b">
        <x:v>1</x:v>
      </x:c>
      <x:c r="P534" s="16" t="b">
        <x:f>IFERROR(VLOOKUP(A534,States!$A$2:$B$49,2,FALSE),FALSE)</x:f>
        <x:v>1</x:v>
      </x:c>
      <x:c r="Q534" s="16" t="b">
        <x:f>AND(OR(O534=TRUE,O534="TRUE"),OR(P534=TRUE,P534="TRUE"))</x:f>
        <x:v>1</x:v>
      </x:c>
    </x:row>
    <x:row r="535">
      <x:c r="A535" s="16" t="str">
        <x:v>Florida</x:v>
      </x:c>
      <x:c r="B535" s="16" t="str">
        <x:v>St. Augustine</x:v>
      </x:c>
      <x:c r="C535" s="16" t="n">
        <x:v>-81.312</x:v>
      </x:c>
      <x:c r="D535" s="16" t="n">
        <x:v>29.898</x:v>
      </x:c>
      <x:c r="E535" s="16" t="str">
        <x:v>Castillo de San Marcos National Monument</x:v>
      </x:c>
      <x:c r="F535" s="16" t="str">
        <x:v>History travelers, families</x:v>
      </x:c>
      <x:c r="G535" s="16" t="str">
        <x:v>A Spanish stone fort anchors the oldest European-founded city in the continental U.S.</x:v>
      </x:c>
      <x:c r="H535" s="16" t="str">
        <x:v>National Monument</x:v>
      </x:c>
      <x:c r="I535" s="16" t="str">
        <x:v>https://www.google.com/search?q=Castillo%20de%20San%20Marcos%20National%20Monument%20St.%20Augustine%20Florida%20official%20website</x:v>
      </x:c>
      <x:c r="J535" s="16" t="str">
        <x:v>https://www.google.com/search?q=site%3Avisitflorida.com%20Castillo%20de%20San%20Marcos%20National%20Monument</x:v>
      </x:c>
      <x:c r="K535" s="16" t="str">
        <x:v>https://www.google.com/search?q=Castillo%20de%20San%20Marcos%20National%20Monument%20St.%20Augustine%20Florida%20visitor%20information</x:v>
      </x:c>
      <x:c r="L535" s="16" t="str">
        <x:v>https://www.google.com/search?q=Castillo%20de%20San%20Marcos%20National%20Monument%20St.%20Augustine%20Florida%20photos</x:v>
      </x:c>
      <x:c r="M535" s="16" t="str">
        <x:v>https://www.google.com/search?q=site%3Anps.gov%20Castillo%20de%20San%20Marcos%20National%20Monument</x:v>
      </x:c>
      <x:c r="N535" s="16" t="str">
        <x:v>https://www.google.com/maps/search/?api=1&amp;query=Castillo%20de%20San%20Marcos%20National%20Monument%2C%20St.%20Augustine%2C%20Florida</x:v>
      </x:c>
      <x:c r="O535" s="17" t="b">
        <x:v>1</x:v>
      </x:c>
      <x:c r="P535" s="16" t="b">
        <x:f>IFERROR(VLOOKUP(A535,States!$A$2:$B$49,2,FALSE),FALSE)</x:f>
        <x:v>1</x:v>
      </x:c>
      <x:c r="Q535" s="16" t="b">
        <x:f>AND(OR(O535=TRUE,O535="TRUE"),OR(P535=TRUE,P535="TRUE"))</x:f>
        <x:v>1</x:v>
      </x:c>
    </x:row>
    <x:row r="536">
      <x:c r="A536" s="16" t="str">
        <x:v>Georgia</x:v>
      </x:c>
      <x:c r="B536" s="16" t="str">
        <x:v>Atlanta</x:v>
      </x:c>
      <x:c r="C536" s="16" t="n">
        <x:v>-84.393</x:v>
      </x:c>
      <x:c r="D536" s="16" t="n">
        <x:v>33.763</x:v>
      </x:c>
      <x:c r="E536" s="16" t="str">
        <x:v>Georgia Aquarium</x:v>
      </x:c>
      <x:c r="F536" s="16" t="str">
        <x:v>Families, animal lovers</x:v>
      </x:c>
      <x:c r="G536" s="16" t="str">
        <x:v>Large marine habitats and whale sharks make a major downtown family stop.</x:v>
      </x:c>
      <x:c r="H536" s="16" t="str">
        <x:v>Zoo/Aquarium</x:v>
      </x:c>
      <x:c r="I536" s="16" t="str">
        <x:v>https://www.google.com/search?q=Georgia%20Aquarium%20Atlanta%20Georgia%20official%20website</x:v>
      </x:c>
      <x:c r="J536" s="16" t="str">
        <x:v>https://www.google.com/search?q=site%3Aexploregeorgia.org%20Georgia%20Aquarium</x:v>
      </x:c>
      <x:c r="K536" s="16" t="str">
        <x:v>https://www.google.com/search?q=Georgia%20Aquarium%20Atlanta%20Georgia%20visitor%20information</x:v>
      </x:c>
      <x:c r="L536" s="16" t="str">
        <x:v>https://www.google.com/search?q=Georgia%20Aquarium%20Atlanta%20Georgia%20photos</x:v>
      </x:c>
      <x:c r="M536" s="16" t="str">
        <x:v>https://www.google.com/search?q=Georgia%20Aquarium%20Atlanta%20Georgia%20wikipedia%20OR%20wikivoyage</x:v>
      </x:c>
      <x:c r="N536" s="16" t="str">
        <x:v>https://www.google.com/maps/search/?api=1&amp;query=Georgia%20Aquarium%2C%20Atlanta%2C%20Georgia</x:v>
      </x:c>
      <x:c r="O536" s="17" t="b">
        <x:v>1</x:v>
      </x:c>
      <x:c r="P536" s="16" t="b">
        <x:f>IFERROR(VLOOKUP(A536,States!$A$2:$B$49,2,FALSE),FALSE)</x:f>
        <x:v>1</x:v>
      </x:c>
      <x:c r="Q536" s="16" t="b">
        <x:f>AND(OR(O536=TRUE,O536="TRUE"),OR(P536=TRUE,P536="TRUE"))</x:f>
        <x:v>1</x:v>
      </x:c>
    </x:row>
    <x:row r="537">
      <x:c r="A537" s="16" t="str">
        <x:v>Georgia</x:v>
      </x:c>
      <x:c r="B537" s="16" t="str">
        <x:v>Savannah</x:v>
      </x:c>
      <x:c r="C537" s="16" t="n">
        <x:v>-81.094</x:v>
      </x:c>
      <x:c r="D537" s="16" t="n">
        <x:v>32.08</x:v>
      </x:c>
      <x:c r="E537" s="16" t="str">
        <x:v>Savannah Historic District</x:v>
      </x:c>
      <x:c r="F537" s="16" t="str">
        <x:v>History travelers, walkers, couples</x:v>
      </x:c>
      <x:c r="G537" s="16" t="str">
        <x:v>Squares, live oaks, architecture, and riverfront streets reward slow exploring.</x:v>
      </x:c>
      <x:c r="H537" s="16" t="str">
        <x:v>Historic Site</x:v>
      </x:c>
      <x:c r="I537" s="16" t="str">
        <x:v>https://www.google.com/search?q=Savannah%20Historic%20District%20Savannah%20Georgia%20official%20website</x:v>
      </x:c>
      <x:c r="J537" s="16" t="str">
        <x:v>https://www.google.com/search?q=site%3Aexploregeorgia.org%20Savannah%20Historic%20District</x:v>
      </x:c>
      <x:c r="K537" s="16" t="str">
        <x:v>https://www.google.com/search?q=Savannah%20Historic%20District%20Savannah%20Georgia%20visitor%20information</x:v>
      </x:c>
      <x:c r="L537" s="16" t="str">
        <x:v>https://www.google.com/search?q=Savannah%20Historic%20District%20Savannah%20Georgia%20photos</x:v>
      </x:c>
      <x:c r="M537" s="16" t="str">
        <x:v>https://www.google.com/search?q=Savannah%20Historic%20District%20Savannah%20Georgia%20wikipedia%20OR%20wikivoyage</x:v>
      </x:c>
      <x:c r="N537" s="16" t="str">
        <x:v>https://www.google.com/maps/search/?api=1&amp;query=Savannah%20Historic%20District%2C%20Savannah%2C%20Georgia</x:v>
      </x:c>
      <x:c r="O537" s="17" t="b">
        <x:v>1</x:v>
      </x:c>
      <x:c r="P537" s="16" t="b">
        <x:f>IFERROR(VLOOKUP(A537,States!$A$2:$B$49,2,FALSE),FALSE)</x:f>
        <x:v>1</x:v>
      </x:c>
      <x:c r="Q537" s="16" t="b">
        <x:f>AND(OR(O537=TRUE,O537="TRUE"),OR(P537=TRUE,P537="TRUE"))</x:f>
        <x:v>1</x:v>
      </x:c>
    </x:row>
    <x:row r="538">
      <x:c r="A538" s="16" t="str">
        <x:v>Georgia</x:v>
      </x:c>
      <x:c r="B538" s="16" t="str">
        <x:v>Atlanta</x:v>
      </x:c>
      <x:c r="C538" s="16" t="n">
        <x:v>-84.373</x:v>
      </x:c>
      <x:c r="D538" s="16" t="n">
        <x:v>33.756</x:v>
      </x:c>
      <x:c r="E538" s="16" t="str">
        <x:v>Martin Luther King Jr. National Historical Park</x:v>
      </x:c>
      <x:c r="F538" s="16" t="str">
        <x:v>History travelers, students</x:v>
      </x:c>
      <x:c r="G538" s="16" t="str">
        <x:v>Historic buildings connect King's life and the civil-rights movement to place.</x:v>
      </x:c>
      <x:c r="H538" s="16" t="str">
        <x:v>National Park</x:v>
      </x:c>
      <x:c r="I538" s="16" t="str">
        <x:v>https://www.google.com/search?q=Martin%20Luther%20King%20Jr.%20National%20Historical%20Park%20Atlanta%20Georgia%20official%20website</x:v>
      </x:c>
      <x:c r="J538" s="16" t="str">
        <x:v>https://www.google.com/search?q=site%3Aexploregeorgia.org%20Martin%20Luther%20King%20Jr.%20National%20Historical%20Park</x:v>
      </x:c>
      <x:c r="K538" s="16" t="str">
        <x:v>https://www.google.com/search?q=Martin%20Luther%20King%20Jr.%20National%20Historical%20Park%20Atlanta%20Georgia%20visitor%20information</x:v>
      </x:c>
      <x:c r="L538" s="16" t="str">
        <x:v>https://www.google.com/search?q=Martin%20Luther%20King%20Jr.%20National%20Historical%20Park%20Atlanta%20Georgia%20photos</x:v>
      </x:c>
      <x:c r="M538" s="16" t="str">
        <x:v>https://www.google.com/search?q=site%3Anps.gov%20Martin%20Luther%20King%20Jr.%20National%20Historical%20Park</x:v>
      </x:c>
      <x:c r="N538" s="16" t="str">
        <x:v>https://www.google.com/maps/search/?api=1&amp;query=Martin%20Luther%20King%20Jr.%20National%20Historical%20Park%2C%20Atlanta%2C%20Georgia</x:v>
      </x:c>
      <x:c r="O538" s="17" t="b">
        <x:v>1</x:v>
      </x:c>
      <x:c r="P538" s="16" t="b">
        <x:f>IFERROR(VLOOKUP(A538,States!$A$2:$B$49,2,FALSE),FALSE)</x:f>
        <x:v>1</x:v>
      </x:c>
      <x:c r="Q538" s="16" t="b">
        <x:f>AND(OR(O538=TRUE,O538="TRUE"),OR(P538=TRUE,P538="TRUE"))</x:f>
        <x:v>1</x:v>
      </x:c>
    </x:row>
    <x:row r="539">
      <x:c r="A539" s="16" t="str">
        <x:v>Kansas</x:v>
      </x:c>
      <x:c r="B539" s="16" t="str">
        <x:v>Cottonwood Falls</x:v>
      </x:c>
      <x:c r="C539" s="16" t="n">
        <x:v>-96.577</x:v>
      </x:c>
      <x:c r="D539" s="16" t="n">
        <x:v>38.44</x:v>
      </x:c>
      <x:c r="E539" s="16" t="str">
        <x:v>Tallgrass Prairie National Preserve</x:v>
      </x:c>
      <x:c r="F539" s="16" t="str">
        <x:v>Hikers, wildlife watchers, photographers</x:v>
      </x:c>
      <x:c r="G539" s="16" t="str">
        <x:v>Open prairie, bison, and ranch history preserve a rare grassland landscape.</x:v>
      </x:c>
      <x:c r="H539" s="16" t="str">
        <x:v>National Preserve</x:v>
      </x:c>
      <x:c r="I539" s="16" t="str">
        <x:v>https://www.google.com/search?q=Tallgrass%20Prairie%20National%20Preserve%20Cottonwood%20Falls%20Kansas%20official%20website</x:v>
      </x:c>
      <x:c r="J539" s="16" t="str">
        <x:v>https://www.google.com/search?q=site%3Atravelks.com%20Tallgrass%20Prairie%20National%20Preserve</x:v>
      </x:c>
      <x:c r="K539" s="16" t="str">
        <x:v>https://www.google.com/search?q=Tallgrass%20Prairie%20National%20Preserve%20Cottonwood%20Falls%20Kansas%20visitor%20information</x:v>
      </x:c>
      <x:c r="L539" s="16" t="str">
        <x:v>https://www.google.com/search?q=Tallgrass%20Prairie%20National%20Preserve%20Cottonwood%20Falls%20Kansas%20photos</x:v>
      </x:c>
      <x:c r="M539" s="16" t="str">
        <x:v>https://www.google.com/search?q=site%3Anps.gov%20Tallgrass%20Prairie%20National%20Preserve</x:v>
      </x:c>
      <x:c r="N539" s="16" t="str">
        <x:v>https://www.google.com/maps/search/?api=1&amp;query=Tallgrass%20Prairie%20National%20Preserve%2C%20Cottonwood%20Falls%2C%20Kansas</x:v>
      </x:c>
      <x:c r="O539" s="17" t="b">
        <x:v>1</x:v>
      </x:c>
      <x:c r="P539" s="16" t="b">
        <x:f>IFERROR(VLOOKUP(A539,States!$A$2:$B$49,2,FALSE),FALSE)</x:f>
        <x:v>1</x:v>
      </x:c>
      <x:c r="Q539" s="16" t="b">
        <x:f>AND(OR(O539=TRUE,O539="TRUE"),OR(P539=TRUE,P539="TRUE"))</x:f>
        <x:v>1</x:v>
      </x:c>
    </x:row>
    <x:row r="540">
      <x:c r="A540" s="16" t="str">
        <x:v>Kansas</x:v>
      </x:c>
      <x:c r="B540" s="16" t="str">
        <x:v>Hutchinson</x:v>
      </x:c>
      <x:c r="C540" s="16" t="n">
        <x:v>-97.922</x:v>
      </x:c>
      <x:c r="D540" s="16" t="n">
        <x:v>38.065</x:v>
      </x:c>
      <x:c r="E540" s="16" t="str">
        <x:v>Cosmosphere</x:v>
      </x:c>
      <x:c r="F540" s="16" t="str">
        <x:v>Families, space-history fans</x:v>
      </x:c>
      <x:c r="G540" s="16" t="str">
        <x:v>Spacecraft, rockets, and Cold War artifacts create a substantial science stop.</x:v>
      </x:c>
      <x:c r="H540" s="16" t="str">
        <x:v>Science</x:v>
      </x:c>
      <x:c r="I540" s="16" t="str">
        <x:v>https://www.google.com/search?q=Cosmosphere%20Hutchinson%20Kansas%20official%20website</x:v>
      </x:c>
      <x:c r="J540" s="16" t="str">
        <x:v>https://www.google.com/search?q=site%3Atravelks.com%20Cosmosphere</x:v>
      </x:c>
      <x:c r="K540" s="16" t="str">
        <x:v>https://www.google.com/search?q=Cosmosphere%20Hutchinson%20Kansas%20visitor%20information</x:v>
      </x:c>
      <x:c r="L540" s="16" t="str">
        <x:v>https://www.google.com/search?q=Cosmosphere%20Hutchinson%20Kansas%20photos</x:v>
      </x:c>
      <x:c r="M540" s="16" t="str">
        <x:v>https://www.google.com/search?q=Cosmosphere%20Hutchinson%20Kansas%20wikipedia%20OR%20wikivoyage</x:v>
      </x:c>
      <x:c r="N540" s="16" t="str">
        <x:v>https://www.google.com/maps/search/?api=1&amp;query=Cosmosphere%2C%20Hutchinson%2C%20Kansas</x:v>
      </x:c>
      <x:c r="O540" s="17" t="b">
        <x:v>1</x:v>
      </x:c>
      <x:c r="P540" s="16" t="b">
        <x:f>IFERROR(VLOOKUP(A540,States!$A$2:$B$49,2,FALSE),FALSE)</x:f>
        <x:v>1</x:v>
      </x:c>
      <x:c r="Q540" s="16" t="b">
        <x:f>AND(OR(O540=TRUE,O540="TRUE"),OR(P540=TRUE,P540="TRUE"))</x:f>
        <x:v>1</x:v>
      </x:c>
    </x:row>
    <x:row r="541">
      <x:c r="A541" s="16" t="str">
        <x:v>Kansas</x:v>
      </x:c>
      <x:c r="B541" s="16" t="str">
        <x:v>Lindsborg</x:v>
      </x:c>
      <x:c r="C541" s="16" t="n">
        <x:v>-97.674</x:v>
      </x:c>
      <x:c r="D541" s="16" t="n">
        <x:v>38.573</x:v>
      </x:c>
      <x:c r="E541" s="16" t="str">
        <x:v>Lindsborg and Coronado Heights</x:v>
      </x:c>
      <x:c r="F541" s="16" t="str">
        <x:v>Culture travelers, scenic drivers</x:v>
      </x:c>
      <x:c r="G541" s="16" t="str">
        <x:v>Swedish heritage and a hilltop castle overlook central Kansas farmland.</x:v>
      </x:c>
      <x:c r="H541" s="16" t="str">
        <x:v>Scenic Town</x:v>
      </x:c>
      <x:c r="I541" s="16" t="str">
        <x:v>https://www.google.com/search?q=Lindsborg%20and%20Coronado%20Heights%20Lindsborg%20Kansas%20official%20website</x:v>
      </x:c>
      <x:c r="J541" s="16" t="str">
        <x:v>https://www.google.com/search?q=site%3Atravelks.com%20Lindsborg%20and%20Coronado%20Heights</x:v>
      </x:c>
      <x:c r="K541" s="16" t="str">
        <x:v>https://www.google.com/search?q=Lindsborg%20and%20Coronado%20Heights%20Lindsborg%20Kansas%20visitor%20information</x:v>
      </x:c>
      <x:c r="L541" s="16" t="str">
        <x:v>https://www.google.com/search?q=Lindsborg%20and%20Coronado%20Heights%20Lindsborg%20Kansas%20photos</x:v>
      </x:c>
      <x:c r="M541" s="16" t="str">
        <x:v>https://www.google.com/search?q=Lindsborg%20and%20Coronado%20Heights%20Lindsborg%20Kansas%20wikipedia%20OR%20wikivoyage</x:v>
      </x:c>
      <x:c r="N541" s="16" t="str">
        <x:v>https://www.google.com/maps/search/?api=1&amp;query=Lindsborg%20and%20Coronado%20Heights%2C%20Lindsborg%2C%20Kansas</x:v>
      </x:c>
      <x:c r="O541" s="17" t="b">
        <x:v>1</x:v>
      </x:c>
      <x:c r="P541" s="16" t="b">
        <x:f>IFERROR(VLOOKUP(A541,States!$A$2:$B$49,2,FALSE),FALSE)</x:f>
        <x:v>1</x:v>
      </x:c>
      <x:c r="Q541" s="16" t="b">
        <x:f>AND(OR(O541=TRUE,O541="TRUE"),OR(P541=TRUE,P541="TRUE"))</x:f>
        <x:v>1</x:v>
      </x:c>
    </x:row>
    <x:row r="542">
      <x:c r="A542" s="16" t="str">
        <x:v>Kentucky</x:v>
      </x:c>
      <x:c r="B542" s="16" t="str">
        <x:v>Mammoth Cave</x:v>
      </x:c>
      <x:c r="C542" s="16" t="n">
        <x:v>-86.101</x:v>
      </x:c>
      <x:c r="D542" s="16" t="n">
        <x:v>37.187</x:v>
      </x:c>
      <x:c r="E542" s="16" t="str">
        <x:v>Mammoth Cave National Park</x:v>
      </x:c>
      <x:c r="F542" s="16" t="str">
        <x:v>Families, cave fans, hikers</x:v>
      </x:c>
      <x:c r="G542" s="16" t="str">
        <x:v>The world's longest known cave system pairs guided tours with forest trails.</x:v>
      </x:c>
      <x:c r="H542" s="16" t="str">
        <x:v>National Park</x:v>
      </x:c>
      <x:c r="I542" s="16" t="str">
        <x:v>https://www.google.com/search?q=Mammoth%20Cave%20National%20Park%20Mammoth%20Cave%20Kentucky%20official%20website</x:v>
      </x:c>
      <x:c r="J542" s="16" t="str">
        <x:v>https://www.google.com/search?q=site%3Akentuckytourism.com%20Mammoth%20Cave%20National%20Park</x:v>
      </x:c>
      <x:c r="K542" s="16" t="str">
        <x:v>https://www.google.com/search?q=Mammoth%20Cave%20National%20Park%20Mammoth%20Cave%20Kentucky%20visitor%20information</x:v>
      </x:c>
      <x:c r="L542" s="16" t="str">
        <x:v>https://www.google.com/search?q=Mammoth%20Cave%20National%20Park%20Mammoth%20Cave%20Kentucky%20photos</x:v>
      </x:c>
      <x:c r="M542" s="16" t="str">
        <x:v>https://www.google.com/search?q=site%3Anps.gov%20Mammoth%20Cave%20National%20Park</x:v>
      </x:c>
      <x:c r="N542" s="16" t="str">
        <x:v>https://www.google.com/maps/search/?api=1&amp;query=Mammoth%20Cave%20National%20Park%2C%20Mammoth%20Cave%2C%20Kentucky</x:v>
      </x:c>
      <x:c r="O542" s="17" t="b">
        <x:v>1</x:v>
      </x:c>
      <x:c r="P542" s="16" t="b">
        <x:f>IFERROR(VLOOKUP(A542,States!$A$2:$B$49,2,FALSE),FALSE)</x:f>
        <x:v>1</x:v>
      </x:c>
      <x:c r="Q542" s="16" t="b">
        <x:f>AND(OR(O542=TRUE,O542="TRUE"),OR(P542=TRUE,P542="TRUE"))</x:f>
        <x:v>1</x:v>
      </x:c>
    </x:row>
    <x:row r="543">
      <x:c r="A543" s="16" t="str">
        <x:v>Kentucky</x:v>
      </x:c>
      <x:c r="B543" s="16" t="str">
        <x:v>Louisville</x:v>
      </x:c>
      <x:c r="C543" s="16" t="n">
        <x:v>-85.764</x:v>
      </x:c>
      <x:c r="D543" s="16" t="n">
        <x:v>38.257</x:v>
      </x:c>
      <x:c r="E543" s="16" t="str">
        <x:v>Louisville Slugger Museum and Factory</x:v>
      </x:c>
      <x:c r="F543" s="16" t="str">
        <x:v>Baseball fans, families</x:v>
      </x:c>
      <x:c r="G543" s="16" t="str">
        <x:v>Bat-making tours and baseball artifacts create an easy downtown stop.</x:v>
      </x:c>
      <x:c r="H543" s="16" t="str">
        <x:v>Museum</x:v>
      </x:c>
      <x:c r="I543" s="16" t="str">
        <x:v>https://www.google.com/search?q=Louisville%20Slugger%20Museum%20and%20Factory%20Louisville%20Kentucky%20official%20website</x:v>
      </x:c>
      <x:c r="J543" s="16" t="str">
        <x:v>https://www.google.com/search?q=site%3Akentuckytourism.com%20Louisville%20Slugger%20Museum%20and%20Factory</x:v>
      </x:c>
      <x:c r="K543" s="16" t="str">
        <x:v>https://www.google.com/search?q=Louisville%20Slugger%20Museum%20and%20Factory%20Louisville%20Kentucky%20visitor%20information</x:v>
      </x:c>
      <x:c r="L543" s="16" t="str">
        <x:v>https://www.google.com/search?q=Louisville%20Slugger%20Museum%20and%20Factory%20Louisville%20Kentucky%20photos</x:v>
      </x:c>
      <x:c r="M543" s="16" t="str">
        <x:v>https://www.google.com/search?q=Louisville%20Slugger%20Museum%20and%20Factory%20Louisville%20Kentucky%20wikipedia%20OR%20wikivoyage</x:v>
      </x:c>
      <x:c r="N543" s="16" t="str">
        <x:v>https://www.google.com/maps/search/?api=1&amp;query=Louisville%20Slugger%20Museum%20and%20Factory%2C%20Louisville%2C%20Kentucky</x:v>
      </x:c>
      <x:c r="O543" s="17" t="b">
        <x:v>1</x:v>
      </x:c>
      <x:c r="P543" s="16" t="b">
        <x:f>IFERROR(VLOOKUP(A543,States!$A$2:$B$49,2,FALSE),FALSE)</x:f>
        <x:v>1</x:v>
      </x:c>
      <x:c r="Q543" s="16" t="b">
        <x:f>AND(OR(O543=TRUE,O543="TRUE"),OR(P543=TRUE,P543="TRUE"))</x:f>
        <x:v>1</x:v>
      </x:c>
    </x:row>
    <x:row r="544">
      <x:c r="A544" s="16" t="str">
        <x:v>Kentucky</x:v>
      </x:c>
      <x:c r="B544" s="16" t="str">
        <x:v>Lexington</x:v>
      </x:c>
      <x:c r="C544" s="16" t="n">
        <x:v>-84.604</x:v>
      </x:c>
      <x:c r="D544" s="16" t="n">
        <x:v>38.149</x:v>
      </x:c>
      <x:c r="E544" s="16" t="str">
        <x:v>Kentucky Horse Park</x:v>
      </x:c>
      <x:c r="F544" s="16" t="str">
        <x:v>Families, horse lovers</x:v>
      </x:c>
      <x:c r="G544" s="16" t="str">
        <x:v>Museums, shows, and barns explain the state's horse culture.</x:v>
      </x:c>
      <x:c r="H544" s="16" t="str">
        <x:v>Museum</x:v>
      </x:c>
      <x:c r="I544" s="16" t="str">
        <x:v>https://www.google.com/search?q=Kentucky%20Horse%20Park%20Lexington%20Kentucky%20official%20website</x:v>
      </x:c>
      <x:c r="J544" s="16" t="str">
        <x:v>https://www.google.com/search?q=site%3Akentuckytourism.com%20Kentucky%20Horse%20Park</x:v>
      </x:c>
      <x:c r="K544" s="16" t="str">
        <x:v>https://www.google.com/search?q=Kentucky%20Horse%20Park%20Lexington%20Kentucky%20visitor%20information</x:v>
      </x:c>
      <x:c r="L544" s="16" t="str">
        <x:v>https://www.google.com/search?q=Kentucky%20Horse%20Park%20Lexington%20Kentucky%20photos</x:v>
      </x:c>
      <x:c r="M544" s="16" t="str">
        <x:v>https://www.google.com/search?q=Kentucky%20Horse%20Park%20Lexington%20Kentucky%20wikipedia%20OR%20wikivoyage</x:v>
      </x:c>
      <x:c r="N544" s="16" t="str">
        <x:v>https://www.google.com/maps/search/?api=1&amp;query=Kentucky%20Horse%20Park%2C%20Lexington%2C%20Kentucky</x:v>
      </x:c>
      <x:c r="O544" s="17" t="b">
        <x:v>1</x:v>
      </x:c>
      <x:c r="P544" s="16" t="b">
        <x:f>IFERROR(VLOOKUP(A544,States!$A$2:$B$49,2,FALSE),FALSE)</x:f>
        <x:v>1</x:v>
      </x:c>
      <x:c r="Q544" s="16" t="b">
        <x:f>AND(OR(O544=TRUE,O544="TRUE"),OR(P544=TRUE,P544="TRUE"))</x:f>
        <x:v>1</x:v>
      </x:c>
    </x:row>
    <x:row r="545">
      <x:c r="A545" s="16" t="str">
        <x:v>Louisiana</x:v>
      </x:c>
      <x:c r="B545" s="16" t="str">
        <x:v>New Orleans</x:v>
      </x:c>
      <x:c r="C545" s="16" t="n">
        <x:v>-90.063</x:v>
      </x:c>
      <x:c r="D545" s="16" t="n">
        <x:v>29.958</x:v>
      </x:c>
      <x:c r="E545" s="16" t="str">
        <x:v>French Quarter</x:v>
      </x:c>
      <x:c r="F545" s="16" t="str">
        <x:v>Music lovers, food lovers, first-time visitors</x:v>
      </x:c>
      <x:c r="G545" s="16" t="str">
        <x:v>Historic streets, live music, food, and architecture define New Orleans.</x:v>
      </x:c>
      <x:c r="H545" s="16" t="str">
        <x:v>Historic Site</x:v>
      </x:c>
      <x:c r="I545" s="16" t="str">
        <x:v>https://www.google.com/search?q=French%20Quarter%20New%20Orleans%20Louisiana%20official%20website</x:v>
      </x:c>
      <x:c r="J545" s="16" t="str">
        <x:v>https://www.google.com/search?q=site%3Alouisianatravel.com%20French%20Quarter</x:v>
      </x:c>
      <x:c r="K545" s="16" t="str">
        <x:v>https://www.google.com/search?q=French%20Quarter%20New%20Orleans%20Louisiana%20visitor%20information</x:v>
      </x:c>
      <x:c r="L545" s="16" t="str">
        <x:v>https://www.google.com/search?q=French%20Quarter%20New%20Orleans%20Louisiana%20photos</x:v>
      </x:c>
      <x:c r="M545" s="16" t="str">
        <x:v>https://www.google.com/search?q=French%20Quarter%20New%20Orleans%20Louisiana%20wikipedia%20OR%20wikivoyage</x:v>
      </x:c>
      <x:c r="N545" s="16" t="str">
        <x:v>https://www.google.com/maps/search/?api=1&amp;query=French%20Quarter%2C%20New%20Orleans%2C%20Louisiana</x:v>
      </x:c>
      <x:c r="O545" s="17" t="b">
        <x:v>1</x:v>
      </x:c>
      <x:c r="P545" s="16" t="b">
        <x:f>IFERROR(VLOOKUP(A545,States!$A$2:$B$49,2,FALSE),FALSE)</x:f>
        <x:v>1</x:v>
      </x:c>
      <x:c r="Q545" s="16" t="b">
        <x:f>AND(OR(O545=TRUE,O545="TRUE"),OR(P545=TRUE,P545="TRUE"))</x:f>
        <x:v>1</x:v>
      </x:c>
    </x:row>
    <x:row r="546">
      <x:c r="A546" s="16" t="str">
        <x:v>Louisiana</x:v>
      </x:c>
      <x:c r="B546" s="16" t="str">
        <x:v>Vacherie</x:v>
      </x:c>
      <x:c r="C546" s="16" t="n">
        <x:v>-90.776</x:v>
      </x:c>
      <x:c r="D546" s="16" t="n">
        <x:v>30.005</x:v>
      </x:c>
      <x:c r="E546" s="16" t="str">
        <x:v>Oak Alley Plantation</x:v>
      </x:c>
      <x:c r="F546" s="16" t="str">
        <x:v>History travelers, architecture fans</x:v>
      </x:c>
      <x:c r="G546" s="16" t="str">
        <x:v>A famous oak-lined approach frames a complex plantation-history site.</x:v>
      </x:c>
      <x:c r="H546" s="16" t="str">
        <x:v>Historic Site</x:v>
      </x:c>
      <x:c r="I546" s="16" t="str">
        <x:v>https://www.google.com/search?q=Oak%20Alley%20Plantation%20Vacherie%20Louisiana%20official%20website</x:v>
      </x:c>
      <x:c r="J546" s="16" t="str">
        <x:v>https://www.google.com/search?q=site%3Alouisianatravel.com%20Oak%20Alley%20Plantation</x:v>
      </x:c>
      <x:c r="K546" s="16" t="str">
        <x:v>https://www.google.com/search?q=Oak%20Alley%20Plantation%20Vacherie%20Louisiana%20visitor%20information</x:v>
      </x:c>
      <x:c r="L546" s="16" t="str">
        <x:v>https://www.google.com/search?q=Oak%20Alley%20Plantation%20Vacherie%20Louisiana%20photos</x:v>
      </x:c>
      <x:c r="M546" s="16" t="str">
        <x:v>https://www.google.com/search?q=Oak%20Alley%20Plantation%20Vacherie%20Louisiana%20wikipedia%20OR%20wikivoyage</x:v>
      </x:c>
      <x:c r="N546" s="16" t="str">
        <x:v>https://www.google.com/maps/search/?api=1&amp;query=Oak%20Alley%20Plantation%2C%20Vacherie%2C%20Louisiana</x:v>
      </x:c>
      <x:c r="O546" s="17" t="b">
        <x:v>1</x:v>
      </x:c>
      <x:c r="P546" s="16" t="b">
        <x:f>IFERROR(VLOOKUP(A546,States!$A$2:$B$49,2,FALSE),FALSE)</x:f>
        <x:v>1</x:v>
      </x:c>
      <x:c r="Q546" s="16" t="b">
        <x:f>AND(OR(O546=TRUE,O546="TRUE"),OR(P546=TRUE,P546="TRUE"))</x:f>
        <x:v>1</x:v>
      </x:c>
    </x:row>
    <x:row r="547">
      <x:c r="A547" s="16" t="str">
        <x:v>Louisiana</x:v>
      </x:c>
      <x:c r="B547" s="16" t="str">
        <x:v>Lafayette</x:v>
      </x:c>
      <x:c r="C547" s="16" t="n">
        <x:v>-92.019</x:v>
      </x:c>
      <x:c r="D547" s="16" t="n">
        <x:v>30.21</x:v>
      </x:c>
      <x:c r="E547" s="16" t="str">
        <x:v>Vermilionville Historic Village</x:v>
      </x:c>
      <x:c r="F547" s="16" t="str">
        <x:v>Culture travelers, families</x:v>
      </x:c>
      <x:c r="G547" s="16" t="str">
        <x:v>Living-history exhibits present Cajun, Creole, and Native American traditions.</x:v>
      </x:c>
      <x:c r="H547" s="16" t="str">
        <x:v>Living History</x:v>
      </x:c>
      <x:c r="I547" s="16" t="str">
        <x:v>https://www.google.com/search?q=Vermilionville%20Historic%20Village%20Lafayette%20Louisiana%20official%20website</x:v>
      </x:c>
      <x:c r="J547" s="16" t="str">
        <x:v>https://www.google.com/search?q=site%3Alouisianatravel.com%20Vermilionville%20Historic%20Village</x:v>
      </x:c>
      <x:c r="K547" s="16" t="str">
        <x:v>https://www.google.com/search?q=Vermilionville%20Historic%20Village%20Lafayette%20Louisiana%20visitor%20information</x:v>
      </x:c>
      <x:c r="L547" s="16" t="str">
        <x:v>https://www.google.com/search?q=Vermilionville%20Historic%20Village%20Lafayette%20Louisiana%20photos</x:v>
      </x:c>
      <x:c r="M547" s="16" t="str">
        <x:v>https://www.google.com/search?q=Vermilionville%20Historic%20Village%20Lafayette%20Louisiana%20wikipedia%20OR%20wikivoyage</x:v>
      </x:c>
      <x:c r="N547" s="16" t="str">
        <x:v>https://www.google.com/maps/search/?api=1&amp;query=Vermilionville%20Historic%20Village%2C%20Lafayette%2C%20Louisiana</x:v>
      </x:c>
      <x:c r="O547" s="17" t="b">
        <x:v>1</x:v>
      </x:c>
      <x:c r="P547" s="16" t="b">
        <x:f>IFERROR(VLOOKUP(A547,States!$A$2:$B$49,2,FALSE),FALSE)</x:f>
        <x:v>1</x:v>
      </x:c>
      <x:c r="Q547" s="16" t="b">
        <x:f>AND(OR(O547=TRUE,O547="TRUE"),OR(P547=TRUE,P547="TRUE"))</x:f>
        <x:v>1</x:v>
      </x:c>
    </x:row>
    <x:row r="548">
      <x:c r="A548" s="16" t="str">
        <x:v>Maine</x:v>
      </x:c>
      <x:c r="B548" s="16" t="str">
        <x:v>Bar Harbor</x:v>
      </x:c>
      <x:c r="C548" s="16" t="n">
        <x:v>-68.209</x:v>
      </x:c>
      <x:c r="D548" s="16" t="n">
        <x:v>44.338</x:v>
      </x:c>
      <x:c r="E548" s="16" t="str">
        <x:v>Acadia National Park</x:v>
      </x:c>
      <x:c r="F548" s="16" t="str">
        <x:v>Hikers, families, photographers</x:v>
      </x:c>
      <x:c r="G548" s="16" t="str">
        <x:v>Rocky coast, carriage roads, mountains, and ocean views define coastal Maine.</x:v>
      </x:c>
      <x:c r="H548" s="16" t="str">
        <x:v>National Park</x:v>
      </x:c>
      <x:c r="I548" s="16" t="str">
        <x:v>https://www.google.com/search?q=Acadia%20National%20Park%20Bar%20Harbor%20Maine%20official%20website</x:v>
      </x:c>
      <x:c r="J548" s="16" t="str">
        <x:v>https://www.google.com/search?q=site%3Avisitmaine.com%20Acadia%20National%20Park</x:v>
      </x:c>
      <x:c r="K548" s="16" t="str">
        <x:v>https://www.google.com/search?q=Acadia%20National%20Park%20Bar%20Harbor%20Maine%20visitor%20information</x:v>
      </x:c>
      <x:c r="L548" s="16" t="str">
        <x:v>https://www.google.com/search?q=Acadia%20National%20Park%20Bar%20Harbor%20Maine%20photos</x:v>
      </x:c>
      <x:c r="M548" s="16" t="str">
        <x:v>https://www.google.com/search?q=site%3Anps.gov%20Acadia%20National%20Park</x:v>
      </x:c>
      <x:c r="N548" s="16" t="str">
        <x:v>https://www.google.com/maps/search/?api=1&amp;query=Acadia%20National%20Park%2C%20Bar%20Harbor%2C%20Maine</x:v>
      </x:c>
      <x:c r="O548" s="17" t="b">
        <x:v>1</x:v>
      </x:c>
      <x:c r="P548" s="16" t="b">
        <x:f>IFERROR(VLOOKUP(A548,States!$A$2:$B$49,2,FALSE),FALSE)</x:f>
        <x:v>1</x:v>
      </x:c>
      <x:c r="Q548" s="16" t="b">
        <x:f>AND(OR(O548=TRUE,O548="TRUE"),OR(P548=TRUE,P548="TRUE"))</x:f>
        <x:v>1</x:v>
      </x:c>
    </x:row>
    <x:row r="549">
      <x:c r="A549" s="16" t="str">
        <x:v>Maine</x:v>
      </x:c>
      <x:c r="B549" s="16" t="str">
        <x:v>Portland</x:v>
      </x:c>
      <x:c r="C549" s="16" t="n">
        <x:v>-70.228</x:v>
      </x:c>
      <x:c r="D549" s="16" t="n">
        <x:v>43.623</x:v>
      </x:c>
      <x:c r="E549" s="16" t="str">
        <x:v>Portland Head Light</x:v>
      </x:c>
      <x:c r="F549" s="16" t="str">
        <x:v>Photographers, history travelers, families</x:v>
      </x:c>
      <x:c r="G549" s="16" t="str">
        <x:v>A classic lighthouse overlooks Casco Bay from a rocky park.</x:v>
      </x:c>
      <x:c r="H549" s="16" t="str">
        <x:v>Historic Site</x:v>
      </x:c>
      <x:c r="I549" s="16" t="str">
        <x:v>https://www.google.com/search?q=Portland%20Head%20Light%20Portland%20Maine%20official%20website</x:v>
      </x:c>
      <x:c r="J549" s="16" t="str">
        <x:v>https://www.google.com/search?q=site%3Avisitmaine.com%20Portland%20Head%20Light</x:v>
      </x:c>
      <x:c r="K549" s="16" t="str">
        <x:v>https://www.google.com/search?q=Portland%20Head%20Light%20Portland%20Maine%20visitor%20information</x:v>
      </x:c>
      <x:c r="L549" s="16" t="str">
        <x:v>https://www.google.com/search?q=Portland%20Head%20Light%20Portland%20Maine%20photos</x:v>
      </x:c>
      <x:c r="M549" s="16" t="str">
        <x:v>https://www.google.com/search?q=Portland%20Head%20Light%20Portland%20Maine%20wikipedia%20OR%20wikivoyage</x:v>
      </x:c>
      <x:c r="N549" s="16" t="str">
        <x:v>https://www.google.com/maps/search/?api=1&amp;query=Portland%20Head%20Light%2C%20Portland%2C%20Maine</x:v>
      </x:c>
      <x:c r="O549" s="17" t="b">
        <x:v>1</x:v>
      </x:c>
      <x:c r="P549" s="16" t="b">
        <x:f>IFERROR(VLOOKUP(A549,States!$A$2:$B$49,2,FALSE),FALSE)</x:f>
        <x:v>1</x:v>
      </x:c>
      <x:c r="Q549" s="16" t="b">
        <x:f>AND(OR(O549=TRUE,O549="TRUE"),OR(P549=TRUE,P549="TRUE"))</x:f>
        <x:v>1</x:v>
      </x:c>
    </x:row>
    <x:row r="550">
      <x:c r="A550" s="16" t="str">
        <x:v>Maine</x:v>
      </x:c>
      <x:c r="B550" s="16" t="str">
        <x:v>Camden</x:v>
      </x:c>
      <x:c r="C550" s="16" t="n">
        <x:v>-69.065</x:v>
      </x:c>
      <x:c r="D550" s="16" t="n">
        <x:v>44.21</x:v>
      </x:c>
      <x:c r="E550" s="16" t="str">
        <x:v>Camden Hills State Park</x:v>
      </x:c>
      <x:c r="F550" s="16" t="str">
        <x:v>Hikers, scenic drivers</x:v>
      </x:c>
      <x:c r="G550" s="16" t="str">
        <x:v>Mount Battie views sweep over harbor islands and Penobscot Bay.</x:v>
      </x:c>
      <x:c r="H550" s="16" t="str">
        <x:v>Nature</x:v>
      </x:c>
      <x:c r="I550" s="16" t="str">
        <x:v>https://www.google.com/search?q=Camden%20Hills%20State%20Park%20Camden%20Maine%20official%20website</x:v>
      </x:c>
      <x:c r="J550" s="16" t="str">
        <x:v>https://www.google.com/search?q=site%3Avisitmaine.com%20Camden%20Hills%20State%20Park</x:v>
      </x:c>
      <x:c r="K550" s="16" t="str">
        <x:v>https://www.google.com/search?q=Camden%20Hills%20State%20Park%20Camden%20Maine%20visitor%20information</x:v>
      </x:c>
      <x:c r="L550" s="16" t="str">
        <x:v>https://www.google.com/search?q=Camden%20Hills%20State%20Park%20Camden%20Maine%20photos</x:v>
      </x:c>
      <x:c r="M550" s="16" t="str">
        <x:v>https://www.google.com/search?q=Camden%20Hills%20State%20Park%20Camden%20Maine%20wikipedia%20OR%20wikivoyage</x:v>
      </x:c>
      <x:c r="N550" s="16" t="str">
        <x:v>https://www.google.com/maps/search/?api=1&amp;query=Camden%20Hills%20State%20Park%2C%20Camden%2C%20Maine</x:v>
      </x:c>
      <x:c r="O550" s="17" t="b">
        <x:v>1</x:v>
      </x:c>
      <x:c r="P550" s="16" t="b">
        <x:f>IFERROR(VLOOKUP(A550,States!$A$2:$B$49,2,FALSE),FALSE)</x:f>
        <x:v>1</x:v>
      </x:c>
      <x:c r="Q550" s="16" t="b">
        <x:f>AND(OR(O550=TRUE,O550="TRUE"),OR(P550=TRUE,P550="TRUE"))</x:f>
        <x:v>1</x:v>
      </x:c>
    </x:row>
    <x:row r="551">
      <x:c r="A551" s="16" t="str">
        <x:v>Maryland</x:v>
      </x:c>
      <x:c r="B551" s="16" t="str">
        <x:v>Baltimore</x:v>
      </x:c>
      <x:c r="C551" s="16" t="n">
        <x:v>-76.619</x:v>
      </x:c>
      <x:c r="D551" s="16" t="n">
        <x:v>39.285</x:v>
      </x:c>
      <x:c r="E551" s="16" t="str">
        <x:v>National Aquarium</x:v>
      </x:c>
      <x:c r="F551" s="16" t="str">
        <x:v>Families, marine-life fans</x:v>
      </x:c>
      <x:c r="G551" s="16" t="str">
        <x:v>Harborfront exhibits and aquatic habitats anchor Baltimore's Inner Harbor.</x:v>
      </x:c>
      <x:c r="H551" s="16" t="str">
        <x:v>Zoo/Aquarium</x:v>
      </x:c>
      <x:c r="I551" s="16" t="str">
        <x:v>https://www.google.com/search?q=National%20Aquarium%20Baltimore%20Maryland%20official%20website</x:v>
      </x:c>
      <x:c r="J551" s="16" t="str">
        <x:v>https://www.google.com/search?q=site%3Avisitmaryland.org%20National%20Aquarium</x:v>
      </x:c>
      <x:c r="K551" s="16" t="str">
        <x:v>https://www.google.com/search?q=National%20Aquarium%20Baltimore%20Maryland%20visitor%20information</x:v>
      </x:c>
      <x:c r="L551" s="16" t="str">
        <x:v>https://www.google.com/search?q=National%20Aquarium%20Baltimore%20Maryland%20photos</x:v>
      </x:c>
      <x:c r="M551" s="16" t="str">
        <x:v>https://www.google.com/search?q=National%20Aquarium%20Baltimore%20Maryland%20wikipedia%20OR%20wikivoyage</x:v>
      </x:c>
      <x:c r="N551" s="16" t="str">
        <x:v>https://www.google.com/maps/search/?api=1&amp;query=National%20Aquarium%2C%20Baltimore%2C%20Maryland</x:v>
      </x:c>
      <x:c r="O551" s="17" t="b">
        <x:v>1</x:v>
      </x:c>
      <x:c r="P551" s="16" t="b">
        <x:f>IFERROR(VLOOKUP(A551,States!$A$2:$B$49,2,FALSE),FALSE)</x:f>
        <x:v>1</x:v>
      </x:c>
      <x:c r="Q551" s="16" t="b">
        <x:f>AND(OR(O551=TRUE,O551="TRUE"),OR(P551=TRUE,P551="TRUE"))</x:f>
        <x:v>1</x:v>
      </x:c>
    </x:row>
    <x:row r="552">
      <x:c r="A552" s="16" t="str">
        <x:v>Maryland</x:v>
      </x:c>
      <x:c r="B552" s="16" t="str">
        <x:v>Sharpsburg</x:v>
      </x:c>
      <x:c r="C552" s="16" t="n">
        <x:v>-77.739</x:v>
      </x:c>
      <x:c r="D552" s="16" t="n">
        <x:v>39.476</x:v>
      </x:c>
      <x:c r="E552" s="16" t="str">
        <x:v>Antietam National Battlefield</x:v>
      </x:c>
      <x:c r="F552" s="16" t="str">
        <x:v>History travelers, students</x:v>
      </x:c>
      <x:c r="G552" s="16" t="str">
        <x:v>Preserved battlefield landscapes interpret a pivotal Civil War day.</x:v>
      </x:c>
      <x:c r="H552" s="16" t="str">
        <x:v>National Battlefield</x:v>
      </x:c>
      <x:c r="I552" s="16" t="str">
        <x:v>https://www.google.com/search?q=Antietam%20National%20Battlefield%20Sharpsburg%20Maryland%20official%20website</x:v>
      </x:c>
      <x:c r="J552" s="16" t="str">
        <x:v>https://www.google.com/search?q=site%3Avisitmaryland.org%20Antietam%20National%20Battlefield</x:v>
      </x:c>
      <x:c r="K552" s="16" t="str">
        <x:v>https://www.google.com/search?q=Antietam%20National%20Battlefield%20Sharpsburg%20Maryland%20visitor%20information</x:v>
      </x:c>
      <x:c r="L552" s="16" t="str">
        <x:v>https://www.google.com/search?q=Antietam%20National%20Battlefield%20Sharpsburg%20Maryland%20photos</x:v>
      </x:c>
      <x:c r="M552" s="16" t="str">
        <x:v>https://www.google.com/search?q=site%3Anps.gov%20Antietam%20National%20Battlefield</x:v>
      </x:c>
      <x:c r="N552" s="16" t="str">
        <x:v>https://www.google.com/maps/search/?api=1&amp;query=Antietam%20National%20Battlefield%2C%20Sharpsburg%2C%20Maryland</x:v>
      </x:c>
      <x:c r="O552" s="17" t="b">
        <x:v>1</x:v>
      </x:c>
      <x:c r="P552" s="16" t="b">
        <x:f>IFERROR(VLOOKUP(A552,States!$A$2:$B$49,2,FALSE),FALSE)</x:f>
        <x:v>1</x:v>
      </x:c>
      <x:c r="Q552" s="16" t="b">
        <x:f>AND(OR(O552=TRUE,O552="TRUE"),OR(P552=TRUE,P552="TRUE"))</x:f>
        <x:v>1</x:v>
      </x:c>
    </x:row>
    <x:row r="553">
      <x:c r="A553" s="16" t="str">
        <x:v>Maryland</x:v>
      </x:c>
      <x:c r="B553" s="16" t="str">
        <x:v>Ocean City</x:v>
      </x:c>
      <x:c r="C553" s="16" t="n">
        <x:v>-75.087</x:v>
      </x:c>
      <x:c r="D553" s="16" t="n">
        <x:v>38.333</x:v>
      </x:c>
      <x:c r="E553" s="16" t="str">
        <x:v>Ocean City Boardwalk</x:v>
      </x:c>
      <x:c r="F553" s="16" t="str">
        <x:v>Beachgoers, families</x:v>
      </x:c>
      <x:c r="G553" s="16" t="str">
        <x:v>Beach, amusements, food, and arcades create a classic Atlantic resort stop.</x:v>
      </x:c>
      <x:c r="H553" s="16" t="str">
        <x:v>Beach</x:v>
      </x:c>
      <x:c r="I553" s="16" t="str">
        <x:v>https://www.google.com/search?q=Ocean%20City%20Boardwalk%20Ocean%20City%20Maryland%20official%20website</x:v>
      </x:c>
      <x:c r="J553" s="16" t="str">
        <x:v>https://www.google.com/search?q=site%3Avisitmaryland.org%20Ocean%20City%20Boardwalk</x:v>
      </x:c>
      <x:c r="K553" s="16" t="str">
        <x:v>https://www.google.com/search?q=Ocean%20City%20Boardwalk%20Ocean%20City%20Maryland%20visitor%20information</x:v>
      </x:c>
      <x:c r="L553" s="16" t="str">
        <x:v>https://www.google.com/search?q=Ocean%20City%20Boardwalk%20Ocean%20City%20Maryland%20photos</x:v>
      </x:c>
      <x:c r="M553" s="16" t="str">
        <x:v>https://www.google.com/search?q=Ocean%20City%20Boardwalk%20Ocean%20City%20Maryland%20wikipedia%20OR%20wikivoyage</x:v>
      </x:c>
      <x:c r="N553" s="16" t="str">
        <x:v>https://www.google.com/maps/search/?api=1&amp;query=Ocean%20City%20Boardwalk%2C%20Ocean%20City%2C%20Maryland</x:v>
      </x:c>
      <x:c r="O553" s="17" t="b">
        <x:v>1</x:v>
      </x:c>
      <x:c r="P553" s="16" t="b">
        <x:f>IFERROR(VLOOKUP(A553,States!$A$2:$B$49,2,FALSE),FALSE)</x:f>
        <x:v>1</x:v>
      </x:c>
      <x:c r="Q553" s="16" t="b">
        <x:f>AND(OR(O553=TRUE,O553="TRUE"),OR(P553=TRUE,P553="TRUE"))</x:f>
        <x:v>1</x:v>
      </x:c>
    </x:row>
    <x:row r="554">
      <x:c r="A554" s="16" t="str">
        <x:v>Massachusetts</x:v>
      </x:c>
      <x:c r="B554" s="16" t="str">
        <x:v>Boston</x:v>
      </x:c>
      <x:c r="C554" s="16" t="n">
        <x:v>-71.057</x:v>
      </x:c>
      <x:c r="D554" s="16" t="n">
        <x:v>42.359</x:v>
      </x:c>
      <x:c r="E554" s="16" t="str">
        <x:v>Freedom Trail</x:v>
      </x:c>
      <x:c r="F554" s="16" t="str">
        <x:v>History travelers, families, walkers</x:v>
      </x:c>
      <x:c r="G554" s="16" t="str">
        <x:v>A walkable route links many Revolutionary-era landmarks in central Boston.</x:v>
      </x:c>
      <x:c r="H554" s="16" t="str">
        <x:v>Historic Site</x:v>
      </x:c>
      <x:c r="I554" s="16" t="str">
        <x:v>https://www.google.com/search?q=Freedom%20Trail%20Boston%20Massachusetts%20official%20website</x:v>
      </x:c>
      <x:c r="J554" s="16" t="str">
        <x:v>https://www.google.com/search?q=site%3Avisitma.com%20Freedom%20Trail</x:v>
      </x:c>
      <x:c r="K554" s="16" t="str">
        <x:v>https://www.google.com/search?q=Freedom%20Trail%20Boston%20Massachusetts%20visitor%20information</x:v>
      </x:c>
      <x:c r="L554" s="16" t="str">
        <x:v>https://www.google.com/search?q=Freedom%20Trail%20Boston%20Massachusetts%20photos</x:v>
      </x:c>
      <x:c r="M554" s="16" t="str">
        <x:v>https://www.google.com/search?q=Freedom%20Trail%20Boston%20Massachusetts%20wikipedia%20OR%20wikivoyage</x:v>
      </x:c>
      <x:c r="N554" s="16" t="str">
        <x:v>https://www.google.com/maps/search/?api=1&amp;query=Freedom%20Trail%2C%20Boston%2C%20Massachusetts</x:v>
      </x:c>
      <x:c r="O554" s="17" t="b">
        <x:v>1</x:v>
      </x:c>
      <x:c r="P554" s="16" t="b">
        <x:f>IFERROR(VLOOKUP(A554,States!$A$2:$B$49,2,FALSE),FALSE)</x:f>
        <x:v>1</x:v>
      </x:c>
      <x:c r="Q554" s="16" t="b">
        <x:f>AND(OR(O554=TRUE,O554="TRUE"),OR(P554=TRUE,P554="TRUE"))</x:f>
        <x:v>1</x:v>
      </x:c>
    </x:row>
    <x:row r="555">
      <x:c r="A555" s="16" t="str">
        <x:v>Massachusetts</x:v>
      </x:c>
      <x:c r="B555" s="16" t="str">
        <x:v>Stockbridge</x:v>
      </x:c>
      <x:c r="C555" s="16" t="n">
        <x:v>-73.336</x:v>
      </x:c>
      <x:c r="D555" s="16" t="n">
        <x:v>42.283</x:v>
      </x:c>
      <x:c r="E555" s="16" t="str">
        <x:v>Norman Rockwell Museum</x:v>
      </x:c>
      <x:c r="F555" s="16" t="str">
        <x:v>Art lovers, families</x:v>
      </x:c>
      <x:c r="G555" s="16" t="str">
        <x:v>Illustration collections and studio context illuminate a beloved American artist.</x:v>
      </x:c>
      <x:c r="H555" s="16" t="str">
        <x:v>Museum</x:v>
      </x:c>
      <x:c r="I555" s="16" t="str">
        <x:v>https://www.google.com/search?q=Norman%20Rockwell%20Museum%20Stockbridge%20Massachusetts%20official%20website</x:v>
      </x:c>
      <x:c r="J555" s="16" t="str">
        <x:v>https://www.google.com/search?q=site%3Avisitma.com%20Norman%20Rockwell%20Museum</x:v>
      </x:c>
      <x:c r="K555" s="16" t="str">
        <x:v>https://www.google.com/search?q=Norman%20Rockwell%20Museum%20Stockbridge%20Massachusetts%20visitor%20information</x:v>
      </x:c>
      <x:c r="L555" s="16" t="str">
        <x:v>https://www.google.com/search?q=Norman%20Rockwell%20Museum%20Stockbridge%20Massachusetts%20photos</x:v>
      </x:c>
      <x:c r="M555" s="16" t="str">
        <x:v>https://www.google.com/search?q=Norman%20Rockwell%20Museum%20Stockbridge%20Massachusetts%20wikipedia%20OR%20wikivoyage</x:v>
      </x:c>
      <x:c r="N555" s="16" t="str">
        <x:v>https://www.google.com/maps/search/?api=1&amp;query=Norman%20Rockwell%20Museum%2C%20Stockbridge%2C%20Massachusetts</x:v>
      </x:c>
      <x:c r="O555" s="17" t="b">
        <x:v>1</x:v>
      </x:c>
      <x:c r="P555" s="16" t="b">
        <x:f>IFERROR(VLOOKUP(A555,States!$A$2:$B$49,2,FALSE),FALSE)</x:f>
        <x:v>1</x:v>
      </x:c>
      <x:c r="Q555" s="16" t="b">
        <x:f>AND(OR(O555=TRUE,O555="TRUE"),OR(P555=TRUE,P555="TRUE"))</x:f>
        <x:v>1</x:v>
      </x:c>
    </x:row>
    <x:row r="556">
      <x:c r="A556" s="16" t="str">
        <x:v>Massachusetts</x:v>
      </x:c>
      <x:c r="B556" s="16" t="str">
        <x:v>Provincetown</x:v>
      </x:c>
      <x:c r="C556" s="16" t="n">
        <x:v>-70.178</x:v>
      </x:c>
      <x:c r="D556" s="16" t="n">
        <x:v>42.049</x:v>
      </x:c>
      <x:c r="E556" s="16" t="str">
        <x:v>Cape Cod National Seashore</x:v>
      </x:c>
      <x:c r="F556" s="16" t="str">
        <x:v>Beachgoers, cyclists, photographers</x:v>
      </x:c>
      <x:c r="G556" s="16" t="str">
        <x:v>Ocean beaches, dunes, lighthouses, and villages shape the outer Cape.</x:v>
      </x:c>
      <x:c r="H556" s="16" t="str">
        <x:v>National Seashore</x:v>
      </x:c>
      <x:c r="I556" s="16" t="str">
        <x:v>https://www.google.com/search?q=Cape%20Cod%20National%20Seashore%20Provincetown%20Massachusetts%20official%20website</x:v>
      </x:c>
      <x:c r="J556" s="16" t="str">
        <x:v>https://www.google.com/search?q=site%3Avisitma.com%20Cape%20Cod%20National%20Seashore</x:v>
      </x:c>
      <x:c r="K556" s="16" t="str">
        <x:v>https://www.google.com/search?q=Cape%20Cod%20National%20Seashore%20Provincetown%20Massachusetts%20visitor%20information</x:v>
      </x:c>
      <x:c r="L556" s="16" t="str">
        <x:v>https://www.google.com/search?q=Cape%20Cod%20National%20Seashore%20Provincetown%20Massachusetts%20photos</x:v>
      </x:c>
      <x:c r="M556" s="16" t="str">
        <x:v>https://www.google.com/search?q=site%3Anps.gov%20Cape%20Cod%20National%20Seashore</x:v>
      </x:c>
      <x:c r="N556" s="16" t="str">
        <x:v>https://www.google.com/maps/search/?api=1&amp;query=Cape%20Cod%20National%20Seashore%2C%20Provincetown%2C%20Massachusetts</x:v>
      </x:c>
      <x:c r="O556" s="17" t="b">
        <x:v>1</x:v>
      </x:c>
      <x:c r="P556" s="16" t="b">
        <x:f>IFERROR(VLOOKUP(A556,States!$A$2:$B$49,2,FALSE),FALSE)</x:f>
        <x:v>1</x:v>
      </x:c>
      <x:c r="Q556" s="16" t="b">
        <x:f>AND(OR(O556=TRUE,O556="TRUE"),OR(P556=TRUE,P556="TRUE"))</x:f>
        <x:v>1</x:v>
      </x:c>
    </x:row>
    <x:row r="557">
      <x:c r="A557" s="16" t="str">
        <x:v>Mississippi</x:v>
      </x:c>
      <x:c r="B557" s="16" t="str">
        <x:v>Biloxi</x:v>
      </x:c>
      <x:c r="C557" s="16" t="n">
        <x:v>-88.885</x:v>
      </x:c>
      <x:c r="D557" s="16" t="n">
        <x:v>30.396</x:v>
      </x:c>
      <x:c r="E557" s="16" t="str">
        <x:v>Biloxi Lighthouse and Beach</x:v>
      </x:c>
      <x:c r="F557" s="16" t="str">
        <x:v>Beachgoers, families, photographers</x:v>
      </x:c>
      <x:c r="G557" s="16" t="str">
        <x:v>A Gulf Coast lighthouse and beach make an easy coastal landmark.</x:v>
      </x:c>
      <x:c r="H557" s="16" t="str">
        <x:v>Historic Site</x:v>
      </x:c>
      <x:c r="I557" s="16" t="str">
        <x:v>https://www.google.com/search?q=Biloxi%20Lighthouse%20and%20Beach%20Biloxi%20Mississippi%20official%20website</x:v>
      </x:c>
      <x:c r="J557" s="16" t="str">
        <x:v>https://www.google.com/search?q=site%3Avisitmississippi.org%20Biloxi%20Lighthouse%20and%20Beach</x:v>
      </x:c>
      <x:c r="K557" s="16" t="str">
        <x:v>https://www.google.com/search?q=Biloxi%20Lighthouse%20and%20Beach%20Biloxi%20Mississippi%20visitor%20information</x:v>
      </x:c>
      <x:c r="L557" s="16" t="str">
        <x:v>https://www.google.com/search?q=Biloxi%20Lighthouse%20and%20Beach%20Biloxi%20Mississippi%20photos</x:v>
      </x:c>
      <x:c r="M557" s="16" t="str">
        <x:v>https://www.google.com/search?q=Biloxi%20Lighthouse%20and%20Beach%20Biloxi%20Mississippi%20wikipedia%20OR%20wikivoyage</x:v>
      </x:c>
      <x:c r="N557" s="16" t="str">
        <x:v>https://www.google.com/maps/search/?api=1&amp;query=Biloxi%20Lighthouse%20and%20Beach%2C%20Biloxi%2C%20Mississippi</x:v>
      </x:c>
      <x:c r="O557" s="17" t="b">
        <x:v>1</x:v>
      </x:c>
      <x:c r="P557" s="16" t="b">
        <x:f>IFERROR(VLOOKUP(A557,States!$A$2:$B$49,2,FALSE),FALSE)</x:f>
        <x:v>1</x:v>
      </x:c>
      <x:c r="Q557" s="16" t="b">
        <x:f>AND(OR(O557=TRUE,O557="TRUE"),OR(P557=TRUE,P557="TRUE"))</x:f>
        <x:v>1</x:v>
      </x:c>
    </x:row>
    <x:row r="558">
      <x:c r="A558" s="16" t="str">
        <x:v>Mississippi</x:v>
      </x:c>
      <x:c r="B558" s="16" t="str">
        <x:v>Jackson</x:v>
      </x:c>
      <x:c r="C558" s="16" t="n">
        <x:v>-90.178</x:v>
      </x:c>
      <x:c r="D558" s="16" t="n">
        <x:v>32.298</x:v>
      </x:c>
      <x:c r="E558" s="16" t="str">
        <x:v>Mississippi Civil Rights Museum</x:v>
      </x:c>
      <x:c r="F558" s="16" t="str">
        <x:v>History travelers, students</x:v>
      </x:c>
      <x:c r="G558" s="16" t="str">
        <x:v>Strong exhibits trace the state's civil-rights struggles and leaders.</x:v>
      </x:c>
      <x:c r="H558" s="16" t="str">
        <x:v>Museum</x:v>
      </x:c>
      <x:c r="I558" s="16" t="str">
        <x:v>https://www.google.com/search?q=Mississippi%20Civil%20Rights%20Museum%20Jackson%20Mississippi%20official%20website</x:v>
      </x:c>
      <x:c r="J558" s="16" t="str">
        <x:v>https://www.google.com/search?q=site%3Avisitmississippi.org%20Mississippi%20Civil%20Rights%20Museum</x:v>
      </x:c>
      <x:c r="K558" s="16" t="str">
        <x:v>https://www.google.com/search?q=Mississippi%20Civil%20Rights%20Museum%20Jackson%20Mississippi%20visitor%20information</x:v>
      </x:c>
      <x:c r="L558" s="16" t="str">
        <x:v>https://www.google.com/search?q=Mississippi%20Civil%20Rights%20Museum%20Jackson%20Mississippi%20photos</x:v>
      </x:c>
      <x:c r="M558" s="16" t="str">
        <x:v>https://www.google.com/search?q=Mississippi%20Civil%20Rights%20Museum%20Jackson%20Mississippi%20wikipedia%20OR%20wikivoyage</x:v>
      </x:c>
      <x:c r="N558" s="16" t="str">
        <x:v>https://www.google.com/maps/search/?api=1&amp;query=Mississippi%20Civil%20Rights%20Museum%2C%20Jackson%2C%20Mississippi</x:v>
      </x:c>
      <x:c r="O558" s="17" t="b">
        <x:v>1</x:v>
      </x:c>
      <x:c r="P558" s="16" t="b">
        <x:f>IFERROR(VLOOKUP(A558,States!$A$2:$B$49,2,FALSE),FALSE)</x:f>
        <x:v>1</x:v>
      </x:c>
      <x:c r="Q558" s="16" t="b">
        <x:f>AND(OR(O558=TRUE,O558="TRUE"),OR(P558=TRUE,P558="TRUE"))</x:f>
        <x:v>1</x:v>
      </x:c>
    </x:row>
    <x:row r="559">
      <x:c r="A559" s="16" t="str">
        <x:v>Mississippi</x:v>
      </x:c>
      <x:c r="B559" s="16" t="str">
        <x:v>Tupelo</x:v>
      </x:c>
      <x:c r="C559" s="16" t="n">
        <x:v>-88.719</x:v>
      </x:c>
      <x:c r="D559" s="16" t="n">
        <x:v>34.259</x:v>
      </x:c>
      <x:c r="E559" s="16" t="str">
        <x:v>Elvis Presley Birthplace</x:v>
      </x:c>
      <x:c r="F559" s="16" t="str">
        <x:v>Music fans, families</x:v>
      </x:c>
      <x:c r="G559" s="16" t="str">
        <x:v>A modest birthplace site connects Elvis history to north Mississippi.</x:v>
      </x:c>
      <x:c r="H559" s="16" t="str">
        <x:v>Historic Site</x:v>
      </x:c>
      <x:c r="I559" s="16" t="str">
        <x:v>https://www.google.com/search?q=Elvis%20Presley%20Birthplace%20Tupelo%20Mississippi%20official%20website</x:v>
      </x:c>
      <x:c r="J559" s="16" t="str">
        <x:v>https://www.google.com/search?q=site%3Avisitmississippi.org%20Elvis%20Presley%20Birthplace</x:v>
      </x:c>
      <x:c r="K559" s="16" t="str">
        <x:v>https://www.google.com/search?q=Elvis%20Presley%20Birthplace%20Tupelo%20Mississippi%20visitor%20information</x:v>
      </x:c>
      <x:c r="L559" s="16" t="str">
        <x:v>https://www.google.com/search?q=Elvis%20Presley%20Birthplace%20Tupelo%20Mississippi%20photos</x:v>
      </x:c>
      <x:c r="M559" s="16" t="str">
        <x:v>https://www.google.com/search?q=Elvis%20Presley%20Birthplace%20Tupelo%20Mississippi%20wikipedia%20OR%20wikivoyage</x:v>
      </x:c>
      <x:c r="N559" s="16" t="str">
        <x:v>https://www.google.com/maps/search/?api=1&amp;query=Elvis%20Presley%20Birthplace%2C%20Tupelo%2C%20Mississippi</x:v>
      </x:c>
      <x:c r="O559" s="17" t="b">
        <x:v>1</x:v>
      </x:c>
      <x:c r="P559" s="16" t="b">
        <x:f>IFERROR(VLOOKUP(A559,States!$A$2:$B$49,2,FALSE),FALSE)</x:f>
        <x:v>1</x:v>
      </x:c>
      <x:c r="Q559" s="16" t="b">
        <x:f>AND(OR(O559=TRUE,O559="TRUE"),OR(P559=TRUE,P559="TRUE"))</x:f>
        <x:v>1</x:v>
      </x:c>
    </x:row>
    <x:row r="560">
      <x:c r="A560" s="16" t="str">
        <x:v>Missouri</x:v>
      </x:c>
      <x:c r="B560" s="16" t="str">
        <x:v>St. Louis</x:v>
      </x:c>
      <x:c r="C560" s="16" t="n">
        <x:v>-90.184</x:v>
      </x:c>
      <x:c r="D560" s="16" t="n">
        <x:v>38.624</x:v>
      </x:c>
      <x:c r="E560" s="16" t="str">
        <x:v>Gateway Arch National Park</x:v>
      </x:c>
      <x:c r="F560" s="16" t="str">
        <x:v>Families, architecture fans, history travelers</x:v>
      </x:c>
      <x:c r="G560" s="16" t="str">
        <x:v>The soaring arch and museum mark westward expansion on the Mississippi.</x:v>
      </x:c>
      <x:c r="H560" s="16" t="str">
        <x:v>National Park</x:v>
      </x:c>
      <x:c r="I560" s="16" t="str">
        <x:v>https://www.google.com/search?q=Gateway%20Arch%20National%20Park%20St.%20Louis%20Missouri%20official%20website</x:v>
      </x:c>
      <x:c r="J560" s="16" t="str">
        <x:v>https://www.google.com/search?q=site%3Avisitmo.com%20Gateway%20Arch%20National%20Park</x:v>
      </x:c>
      <x:c r="K560" s="16" t="str">
        <x:v>https://www.google.com/search?q=Gateway%20Arch%20National%20Park%20St.%20Louis%20Missouri%20visitor%20information</x:v>
      </x:c>
      <x:c r="L560" s="16" t="str">
        <x:v>https://www.google.com/search?q=Gateway%20Arch%20National%20Park%20St.%20Louis%20Missouri%20photos</x:v>
      </x:c>
      <x:c r="M560" s="16" t="str">
        <x:v>https://www.google.com/search?q=site%3Anps.gov%20Gateway%20Arch%20National%20Park</x:v>
      </x:c>
      <x:c r="N560" s="16" t="str">
        <x:v>https://www.google.com/maps/search/?api=1&amp;query=Gateway%20Arch%20National%20Park%2C%20St.%20Louis%2C%20Missouri</x:v>
      </x:c>
      <x:c r="O560" s="17" t="b">
        <x:v>1</x:v>
      </x:c>
      <x:c r="P560" s="16" t="b">
        <x:f>IFERROR(VLOOKUP(A560,States!$A$2:$B$49,2,FALSE),FALSE)</x:f>
        <x:v>1</x:v>
      </x:c>
      <x:c r="Q560" s="16" t="b">
        <x:f>AND(OR(O560=TRUE,O560="TRUE"),OR(P560=TRUE,P560="TRUE"))</x:f>
        <x:v>1</x:v>
      </x:c>
    </x:row>
    <x:row r="561">
      <x:c r="A561" s="16" t="str">
        <x:v>Missouri</x:v>
      </x:c>
      <x:c r="B561" s="16" t="str">
        <x:v>Kansas City</x:v>
      </x:c>
      <x:c r="C561" s="16" t="n">
        <x:v>-94.587</x:v>
      </x:c>
      <x:c r="D561" s="16" t="n">
        <x:v>39.081</x:v>
      </x:c>
      <x:c r="E561" s="16" t="str">
        <x:v>National WWI Museum and Memorial</x:v>
      </x:c>
      <x:c r="F561" s="16" t="str">
        <x:v>History travelers, families</x:v>
      </x:c>
      <x:c r="G561" s="16" t="str">
        <x:v>Comprehensive exhibits and skyline views create a powerful museum visit.</x:v>
      </x:c>
      <x:c r="H561" s="16" t="str">
        <x:v>Museum</x:v>
      </x:c>
      <x:c r="I561" s="16" t="str">
        <x:v>https://www.google.com/search?q=National%20WWI%20Museum%20and%20Memorial%20Kansas%20City%20Missouri%20official%20website</x:v>
      </x:c>
      <x:c r="J561" s="16" t="str">
        <x:v>https://www.google.com/search?q=site%3Avisitmo.com%20National%20WWI%20Museum%20and%20Memorial</x:v>
      </x:c>
      <x:c r="K561" s="16" t="str">
        <x:v>https://www.google.com/search?q=National%20WWI%20Museum%20and%20Memorial%20Kansas%20City%20Missouri%20visitor%20information</x:v>
      </x:c>
      <x:c r="L561" s="16" t="str">
        <x:v>https://www.google.com/search?q=National%20WWI%20Museum%20and%20Memorial%20Kansas%20City%20Missouri%20photos</x:v>
      </x:c>
      <x:c r="M561" s="16" t="str">
        <x:v>https://www.google.com/search?q=National%20WWI%20Museum%20and%20Memorial%20Kansas%20City%20Missouri%20wikipedia%20OR%20wikivoyage</x:v>
      </x:c>
      <x:c r="N561" s="16" t="str">
        <x:v>https://www.google.com/maps/search/?api=1&amp;query=National%20WWI%20Museum%20and%20Memorial%2C%20Kansas%20City%2C%20Missouri</x:v>
      </x:c>
      <x:c r="O561" s="17" t="b">
        <x:v>1</x:v>
      </x:c>
      <x:c r="P561" s="16" t="b">
        <x:f>IFERROR(VLOOKUP(A561,States!$A$2:$B$49,2,FALSE),FALSE)</x:f>
        <x:v>1</x:v>
      </x:c>
      <x:c r="Q561" s="16" t="b">
        <x:f>AND(OR(O561=TRUE,O561="TRUE"),OR(P561=TRUE,P561="TRUE"))</x:f>
        <x:v>1</x:v>
      </x:c>
    </x:row>
    <x:row r="562">
      <x:c r="A562" s="16" t="str">
        <x:v>Missouri</x:v>
      </x:c>
      <x:c r="B562" s="16" t="str">
        <x:v>Branson</x:v>
      </x:c>
      <x:c r="C562" s="16" t="n">
        <x:v>-93.338</x:v>
      </x:c>
      <x:c r="D562" s="16" t="n">
        <x:v>36.667</x:v>
      </x:c>
      <x:c r="E562" s="16" t="str">
        <x:v>Silver Dollar City</x:v>
      </x:c>
      <x:c r="F562" s="16" t="str">
        <x:v>Families, thrill seekers</x:v>
      </x:c>
      <x:c r="G562" s="16" t="str">
        <x:v>Coasters, crafts, shows, and Ozark theming make a major amusement stop.</x:v>
      </x:c>
      <x:c r="H562" s="16" t="str">
        <x:v>Theme Park</x:v>
      </x:c>
      <x:c r="I562" s="16" t="str">
        <x:v>https://www.google.com/search?q=Silver%20Dollar%20City%20Branson%20Missouri%20official%20website</x:v>
      </x:c>
      <x:c r="J562" s="16" t="str">
        <x:v>https://www.google.com/search?q=site%3Avisitmo.com%20Silver%20Dollar%20City</x:v>
      </x:c>
      <x:c r="K562" s="16" t="str">
        <x:v>https://www.google.com/search?q=Silver%20Dollar%20City%20Branson%20Missouri%20visitor%20information</x:v>
      </x:c>
      <x:c r="L562" s="16" t="str">
        <x:v>https://www.google.com/search?q=Silver%20Dollar%20City%20Branson%20Missouri%20photos</x:v>
      </x:c>
      <x:c r="M562" s="16" t="str">
        <x:v>https://www.google.com/search?q=Silver%20Dollar%20City%20Branson%20Missouri%20wikipedia%20OR%20wikivoyage</x:v>
      </x:c>
      <x:c r="N562" s="16" t="str">
        <x:v>https://www.google.com/maps/search/?api=1&amp;query=Silver%20Dollar%20City%2C%20Branson%2C%20Missouri</x:v>
      </x:c>
      <x:c r="O562" s="17" t="b">
        <x:v>1</x:v>
      </x:c>
      <x:c r="P562" s="16" t="b">
        <x:f>IFERROR(VLOOKUP(A562,States!$A$2:$B$49,2,FALSE),FALSE)</x:f>
        <x:v>1</x:v>
      </x:c>
      <x:c r="Q562" s="16" t="b">
        <x:f>AND(OR(O562=TRUE,O562="TRUE"),OR(P562=TRUE,P562="TRUE"))</x:f>
        <x:v>1</x:v>
      </x:c>
    </x:row>
    <x:row r="563">
      <x:c r="A563" s="16" t="str">
        <x:v>Nevada</x:v>
      </x:c>
      <x:c r="B563" s="16" t="str">
        <x:v>Boulder City</x:v>
      </x:c>
      <x:c r="C563" s="16" t="n">
        <x:v>-114.737</x:v>
      </x:c>
      <x:c r="D563" s="16" t="n">
        <x:v>36.016</x:v>
      </x:c>
      <x:c r="E563" s="16" t="str">
        <x:v>Hoover Dam</x:v>
      </x:c>
      <x:c r="F563" s="16" t="str">
        <x:v>Engineering fans, families</x:v>
      </x:c>
      <x:c r="G563" s="16" t="str">
        <x:v>Massive concrete engineering and Colorado River views make a classic stop.</x:v>
      </x:c>
      <x:c r="H563" s="16" t="str">
        <x:v>Engineering</x:v>
      </x:c>
      <x:c r="I563" s="16" t="str">
        <x:v>https://www.google.com/search?q=Hoover%20Dam%20Boulder%20City%20Nevada%20official%20website</x:v>
      </x:c>
      <x:c r="J563" s="16" t="str">
        <x:v>https://www.google.com/search?q=site%3Atravelnevada.com%20Hoover%20Dam</x:v>
      </x:c>
      <x:c r="K563" s="16" t="str">
        <x:v>https://www.google.com/search?q=Hoover%20Dam%20Boulder%20City%20Nevada%20visitor%20information</x:v>
      </x:c>
      <x:c r="L563" s="16" t="str">
        <x:v>https://www.google.com/search?q=Hoover%20Dam%20Boulder%20City%20Nevada%20photos</x:v>
      </x:c>
      <x:c r="M563" s="16" t="str">
        <x:v>https://www.google.com/search?q=Hoover%20Dam%20Boulder%20City%20Nevada%20wikipedia%20OR%20wikivoyage</x:v>
      </x:c>
      <x:c r="N563" s="16" t="str">
        <x:v>https://www.google.com/maps/search/?api=1&amp;query=Hoover%20Dam%2C%20Boulder%20City%2C%20Nevada</x:v>
      </x:c>
      <x:c r="O563" s="17" t="b">
        <x:v>1</x:v>
      </x:c>
      <x:c r="P563" s="16" t="b">
        <x:f>IFERROR(VLOOKUP(A563,States!$A$2:$B$49,2,FALSE),FALSE)</x:f>
        <x:v>1</x:v>
      </x:c>
      <x:c r="Q563" s="16" t="b">
        <x:f>AND(OR(O563=TRUE,O563="TRUE"),OR(P563=TRUE,P563="TRUE"))</x:f>
        <x:v>1</x:v>
      </x:c>
    </x:row>
    <x:row r="564">
      <x:c r="A564" s="16" t="str">
        <x:v>Nevada</x:v>
      </x:c>
      <x:c r="B564" s="16" t="str">
        <x:v>Las Vegas</x:v>
      </x:c>
      <x:c r="C564" s="16" t="n">
        <x:v>-115.175</x:v>
      </x:c>
      <x:c r="D564" s="16" t="n">
        <x:v>36.114</x:v>
      </x:c>
      <x:c r="E564" s="16" t="str">
        <x:v>Las Vegas Strip</x:v>
      </x:c>
      <x:c r="F564" s="16" t="str">
        <x:v>Entertainment travelers, food lovers, architecture fans</x:v>
      </x:c>
      <x:c r="G564" s="16" t="str">
        <x:v>Resorts, shows, public art, and themed architecture create a dense urban spectacle.</x:v>
      </x:c>
      <x:c r="H564" s="16" t="str">
        <x:v>Entertainment</x:v>
      </x:c>
      <x:c r="I564" s="16" t="str">
        <x:v>https://www.google.com/search?q=Las%20Vegas%20Strip%20Las%20Vegas%20Nevada%20official%20website</x:v>
      </x:c>
      <x:c r="J564" s="16" t="str">
        <x:v>https://www.google.com/search?q=site%3Atravelnevada.com%20Las%20Vegas%20Strip</x:v>
      </x:c>
      <x:c r="K564" s="16" t="str">
        <x:v>https://www.google.com/search?q=Las%20Vegas%20Strip%20Las%20Vegas%20Nevada%20visitor%20information</x:v>
      </x:c>
      <x:c r="L564" s="16" t="str">
        <x:v>https://www.google.com/search?q=Las%20Vegas%20Strip%20Las%20Vegas%20Nevada%20photos</x:v>
      </x:c>
      <x:c r="M564" s="16" t="str">
        <x:v>https://www.google.com/search?q=Las%20Vegas%20Strip%20Las%20Vegas%20Nevada%20wikipedia%20OR%20wikivoyage</x:v>
      </x:c>
      <x:c r="N564" s="16" t="str">
        <x:v>https://www.google.com/maps/search/?api=1&amp;query=Las%20Vegas%20Strip%2C%20Las%20Vegas%2C%20Nevada</x:v>
      </x:c>
      <x:c r="O564" s="17" t="b">
        <x:v>1</x:v>
      </x:c>
      <x:c r="P564" s="16" t="b">
        <x:f>IFERROR(VLOOKUP(A564,States!$A$2:$B$49,2,FALSE),FALSE)</x:f>
        <x:v>1</x:v>
      </x:c>
      <x:c r="Q564" s="16" t="b">
        <x:f>AND(OR(O564=TRUE,O564="TRUE"),OR(P564=TRUE,P564="TRUE"))</x:f>
        <x:v>1</x:v>
      </x:c>
    </x:row>
    <x:row r="565">
      <x:c r="A565" s="16" t="str">
        <x:v>Nevada</x:v>
      </x:c>
      <x:c r="B565" s="16" t="str">
        <x:v>Baker</x:v>
      </x:c>
      <x:c r="C565" s="16" t="n">
        <x:v>-114.257</x:v>
      </x:c>
      <x:c r="D565" s="16" t="n">
        <x:v>38.984</x:v>
      </x:c>
      <x:c r="E565" s="16" t="str">
        <x:v>Great Basin National Park</x:v>
      </x:c>
      <x:c r="F565" s="16" t="str">
        <x:v>Hikers, cave fans, stargazers</x:v>
      </x:c>
      <x:c r="G565" s="16" t="str">
        <x:v>Bristlecone pines, alpine terrain, caves, and dark skies reward a remote detour.</x:v>
      </x:c>
      <x:c r="H565" s="16" t="str">
        <x:v>National Park</x:v>
      </x:c>
      <x:c r="I565" s="16" t="str">
        <x:v>https://www.google.com/search?q=Great%20Basin%20National%20Park%20Baker%20Nevada%20official%20website</x:v>
      </x:c>
      <x:c r="J565" s="16" t="str">
        <x:v>https://www.google.com/search?q=site%3Atravelnevada.com%20Great%20Basin%20National%20Park</x:v>
      </x:c>
      <x:c r="K565" s="16" t="str">
        <x:v>https://www.google.com/search?q=Great%20Basin%20National%20Park%20Baker%20Nevada%20visitor%20information</x:v>
      </x:c>
      <x:c r="L565" s="16" t="str">
        <x:v>https://www.google.com/search?q=Great%20Basin%20National%20Park%20Baker%20Nevada%20photos</x:v>
      </x:c>
      <x:c r="M565" s="16" t="str">
        <x:v>https://www.google.com/search?q=site%3Anps.gov%20Great%20Basin%20National%20Park</x:v>
      </x:c>
      <x:c r="N565" s="16" t="str">
        <x:v>https://www.google.com/maps/search/?api=1&amp;query=Great%20Basin%20National%20Park%2C%20Baker%2C%20Nevada</x:v>
      </x:c>
      <x:c r="O565" s="17" t="b">
        <x:v>1</x:v>
      </x:c>
      <x:c r="P565" s="16" t="b">
        <x:f>IFERROR(VLOOKUP(A565,States!$A$2:$B$49,2,FALSE),FALSE)</x:f>
        <x:v>1</x:v>
      </x:c>
      <x:c r="Q565" s="16" t="b">
        <x:f>AND(OR(O565=TRUE,O565="TRUE"),OR(P565=TRUE,P565="TRUE"))</x:f>
        <x:v>1</x:v>
      </x:c>
    </x:row>
    <x:row r="566">
      <x:c r="A566" s="16" t="str">
        <x:v>New Hampshire</x:v>
      </x:c>
      <x:c r="B566" s="16" t="str">
        <x:v>Lincoln</x:v>
      </x:c>
      <x:c r="C566" s="16" t="n">
        <x:v>-71.686</x:v>
      </x:c>
      <x:c r="D566" s="16" t="n">
        <x:v>44.054</x:v>
      </x:c>
      <x:c r="E566" s="16" t="str">
        <x:v>Kancamagus Highway</x:v>
      </x:c>
      <x:c r="F566" s="16" t="str">
        <x:v>Scenic drivers, leaf peepers, photographers</x:v>
      </x:c>
      <x:c r="G566" s="16" t="str">
        <x:v>Mountain roads, river stops, and fall color define a White Mountains drive.</x:v>
      </x:c>
      <x:c r="H566" s="16" t="str">
        <x:v>Scenic Drive</x:v>
      </x:c>
      <x:c r="I566" s="16" t="str">
        <x:v>https://www.google.com/search?q=Kancamagus%20Highway%20Lincoln%20New%20Hampshire%20official%20website</x:v>
      </x:c>
      <x:c r="J566" s="16" t="str">
        <x:v>https://www.google.com/search?q=site%3Avisitnh.gov%20Kancamagus%20Highway</x:v>
      </x:c>
      <x:c r="K566" s="16" t="str">
        <x:v>https://www.google.com/search?q=Kancamagus%20Highway%20Lincoln%20New%20Hampshire%20visitor%20information</x:v>
      </x:c>
      <x:c r="L566" s="16" t="str">
        <x:v>https://www.google.com/search?q=Kancamagus%20Highway%20Lincoln%20New%20Hampshire%20photos</x:v>
      </x:c>
      <x:c r="M566" s="16" t="str">
        <x:v>https://www.google.com/search?q=Kancamagus%20Highway%20Lincoln%20New%20Hampshire%20wikipedia%20OR%20wikivoyage</x:v>
      </x:c>
      <x:c r="N566" s="16" t="str">
        <x:v>https://www.google.com/maps/search/?api=1&amp;query=Kancamagus%20Highway%2C%20Lincoln%2C%20New%20Hampshire</x:v>
      </x:c>
      <x:c r="O566" s="17" t="b">
        <x:v>1</x:v>
      </x:c>
      <x:c r="P566" s="16" t="b">
        <x:f>IFERROR(VLOOKUP(A566,States!$A$2:$B$49,2,FALSE),FALSE)</x:f>
        <x:v>1</x:v>
      </x:c>
      <x:c r="Q566" s="16" t="b">
        <x:f>AND(OR(O566=TRUE,O566="TRUE"),OR(P566=TRUE,P566="TRUE"))</x:f>
        <x:v>1</x:v>
      </x:c>
    </x:row>
    <x:row r="567">
      <x:c r="A567" s="16" t="str">
        <x:v>New Hampshire</x:v>
      </x:c>
      <x:c r="B567" s="16" t="str">
        <x:v>Franconia</x:v>
      </x:c>
      <x:c r="C567" s="16" t="n">
        <x:v>-71.682</x:v>
      </x:c>
      <x:c r="D567" s="16" t="n">
        <x:v>44.161</x:v>
      </x:c>
      <x:c r="E567" s="16" t="str">
        <x:v>Franconia Notch State Park</x:v>
      </x:c>
      <x:c r="F567" s="16" t="str">
        <x:v>Hikers, families, photographers</x:v>
      </x:c>
      <x:c r="G567" s="16" t="str">
        <x:v>A mountain pass links trails, cliffs, lakes, and aerial tram views.</x:v>
      </x:c>
      <x:c r="H567" s="16" t="str">
        <x:v>Nature</x:v>
      </x:c>
      <x:c r="I567" s="16" t="str">
        <x:v>https://www.google.com/search?q=Franconia%20Notch%20State%20Park%20Franconia%20New%20Hampshire%20official%20website</x:v>
      </x:c>
      <x:c r="J567" s="16" t="str">
        <x:v>https://www.google.com/search?q=site%3Avisitnh.gov%20Franconia%20Notch%20State%20Park</x:v>
      </x:c>
      <x:c r="K567" s="16" t="str">
        <x:v>https://www.google.com/search?q=Franconia%20Notch%20State%20Park%20Franconia%20New%20Hampshire%20visitor%20information</x:v>
      </x:c>
      <x:c r="L567" s="16" t="str">
        <x:v>https://www.google.com/search?q=Franconia%20Notch%20State%20Park%20Franconia%20New%20Hampshire%20photos</x:v>
      </x:c>
      <x:c r="M567" s="16" t="str">
        <x:v>https://www.google.com/search?q=Franconia%20Notch%20State%20Park%20Franconia%20New%20Hampshire%20wikipedia%20OR%20wikivoyage</x:v>
      </x:c>
      <x:c r="N567" s="16" t="str">
        <x:v>https://www.google.com/maps/search/?api=1&amp;query=Franconia%20Notch%20State%20Park%2C%20Franconia%2C%20New%20Hampshire</x:v>
      </x:c>
      <x:c r="O567" s="17" t="b">
        <x:v>1</x:v>
      </x:c>
      <x:c r="P567" s="16" t="b">
        <x:f>IFERROR(VLOOKUP(A567,States!$A$2:$B$49,2,FALSE),FALSE)</x:f>
        <x:v>1</x:v>
      </x:c>
      <x:c r="Q567" s="16" t="b">
        <x:f>AND(OR(O567=TRUE,O567="TRUE"),OR(P567=TRUE,P567="TRUE"))</x:f>
        <x:v>1</x:v>
      </x:c>
    </x:row>
    <x:row r="568">
      <x:c r="A568" s="16" t="str">
        <x:v>New Hampshire</x:v>
      </x:c>
      <x:c r="B568" s="16" t="str">
        <x:v>Portsmouth</x:v>
      </x:c>
      <x:c r="C568" s="16" t="n">
        <x:v>-70.754</x:v>
      </x:c>
      <x:c r="D568" s="16" t="n">
        <x:v>43.076</x:v>
      </x:c>
      <x:c r="E568" s="16" t="str">
        <x:v>Strawbery Banke Museum</x:v>
      </x:c>
      <x:c r="F568" s="16" t="str">
        <x:v>History travelers, families</x:v>
      </x:c>
      <x:c r="G568" s="16" t="str">
        <x:v>Preserved houses interpret centuries of coastal New Hampshire life.</x:v>
      </x:c>
      <x:c r="H568" s="16" t="str">
        <x:v>Living History</x:v>
      </x:c>
      <x:c r="I568" s="16" t="str">
        <x:v>https://www.google.com/search?q=Strawbery%20Banke%20Museum%20Portsmouth%20New%20Hampshire%20official%20website</x:v>
      </x:c>
      <x:c r="J568" s="16" t="str">
        <x:v>https://www.google.com/search?q=site%3Avisitnh.gov%20Strawbery%20Banke%20Museum</x:v>
      </x:c>
      <x:c r="K568" s="16" t="str">
        <x:v>https://www.google.com/search?q=Strawbery%20Banke%20Museum%20Portsmouth%20New%20Hampshire%20visitor%20information</x:v>
      </x:c>
      <x:c r="L568" s="16" t="str">
        <x:v>https://www.google.com/search?q=Strawbery%20Banke%20Museum%20Portsmouth%20New%20Hampshire%20photos</x:v>
      </x:c>
      <x:c r="M568" s="16" t="str">
        <x:v>https://www.google.com/search?q=Strawbery%20Banke%20Museum%20Portsmouth%20New%20Hampshire%20wikipedia%20OR%20wikivoyage</x:v>
      </x:c>
      <x:c r="N568" s="16" t="str">
        <x:v>https://www.google.com/maps/search/?api=1&amp;query=Strawbery%20Banke%20Museum%2C%20Portsmouth%2C%20New%20Hampshire</x:v>
      </x:c>
      <x:c r="O568" s="17" t="b">
        <x:v>1</x:v>
      </x:c>
      <x:c r="P568" s="16" t="b">
        <x:f>IFERROR(VLOOKUP(A568,States!$A$2:$B$49,2,FALSE),FALSE)</x:f>
        <x:v>1</x:v>
      </x:c>
      <x:c r="Q568" s="16" t="b">
        <x:f>AND(OR(O568=TRUE,O568="TRUE"),OR(P568=TRUE,P568="TRUE"))</x:f>
        <x:v>1</x:v>
      </x:c>
    </x:row>
    <x:row r="569">
      <x:c r="A569" s="16" t="str">
        <x:v>New Jersey</x:v>
      </x:c>
      <x:c r="B569" s="16" t="str">
        <x:v>Jersey City</x:v>
      </x:c>
      <x:c r="C569" s="16" t="n">
        <x:v>-74.044</x:v>
      </x:c>
      <x:c r="D569" s="16" t="n">
        <x:v>40.69</x:v>
      </x:c>
      <x:c r="E569" s="16" t="str">
        <x:v>Liberty State Park</x:v>
      </x:c>
      <x:c r="F569" s="16" t="str">
        <x:v>Families, skyline watchers, walkers</x:v>
      </x:c>
      <x:c r="G569" s="16" t="str">
        <x:v>Harbor views frame Manhattan, Ellis Island, and the Statue of Liberty.</x:v>
      </x:c>
      <x:c r="H569" s="16" t="str">
        <x:v>Urban Park</x:v>
      </x:c>
      <x:c r="I569" s="16" t="str">
        <x:v>https://www.google.com/search?q=Liberty%20State%20Park%20Jersey%20City%20New%20Jersey%20official%20website</x:v>
      </x:c>
      <x:c r="J569" s="16" t="str">
        <x:v>https://www.google.com/search?q=site%3Avisitnj.org%20Liberty%20State%20Park</x:v>
      </x:c>
      <x:c r="K569" s="16" t="str">
        <x:v>https://www.google.com/search?q=Liberty%20State%20Park%20Jersey%20City%20New%20Jersey%20visitor%20information</x:v>
      </x:c>
      <x:c r="L569" s="16" t="str">
        <x:v>https://www.google.com/search?q=Liberty%20State%20Park%20Jersey%20City%20New%20Jersey%20photos</x:v>
      </x:c>
      <x:c r="M569" s="16" t="str">
        <x:v>https://www.google.com/search?q=Liberty%20State%20Park%20Jersey%20City%20New%20Jersey%20wikipedia%20OR%20wikivoyage</x:v>
      </x:c>
      <x:c r="N569" s="16" t="str">
        <x:v>https://www.google.com/maps/search/?api=1&amp;query=Liberty%20State%20Park%2C%20Jersey%20City%2C%20New%20Jersey</x:v>
      </x:c>
      <x:c r="O569" s="17" t="b">
        <x:v>1</x:v>
      </x:c>
      <x:c r="P569" s="16" t="b">
        <x:f>IFERROR(VLOOKUP(A569,States!$A$2:$B$49,2,FALSE),FALSE)</x:f>
        <x:v>1</x:v>
      </x:c>
      <x:c r="Q569" s="16" t="b">
        <x:f>AND(OR(O569=TRUE,O569="TRUE"),OR(P569=TRUE,P569="TRUE"))</x:f>
        <x:v>1</x:v>
      </x:c>
    </x:row>
    <x:row r="570">
      <x:c r="A570" s="16" t="str">
        <x:v>New Jersey</x:v>
      </x:c>
      <x:c r="B570" s="16" t="str">
        <x:v>Cape May</x:v>
      </x:c>
      <x:c r="C570" s="16" t="n">
        <x:v>-74.922</x:v>
      </x:c>
      <x:c r="D570" s="16" t="n">
        <x:v>38.935</x:v>
      </x:c>
      <x:c r="E570" s="16" t="str">
        <x:v>Cape May Historic District</x:v>
      </x:c>
      <x:c r="F570" s="16" t="str">
        <x:v>Beachgoers, architecture fans, couples</x:v>
      </x:c>
      <x:c r="G570" s="16" t="str">
        <x:v>Victorian streets, beaches, and lighthouse views create a polished shore stop.</x:v>
      </x:c>
      <x:c r="H570" s="16" t="str">
        <x:v>Historic Site</x:v>
      </x:c>
      <x:c r="I570" s="16" t="str">
        <x:v>https://www.google.com/search?q=Cape%20May%20Historic%20District%20Cape%20May%20New%20Jersey%20official%20website</x:v>
      </x:c>
      <x:c r="J570" s="16" t="str">
        <x:v>https://www.google.com/search?q=site%3Avisitnj.org%20Cape%20May%20Historic%20District</x:v>
      </x:c>
      <x:c r="K570" s="16" t="str">
        <x:v>https://www.google.com/search?q=Cape%20May%20Historic%20District%20Cape%20May%20New%20Jersey%20visitor%20information</x:v>
      </x:c>
      <x:c r="L570" s="16" t="str">
        <x:v>https://www.google.com/search?q=Cape%20May%20Historic%20District%20Cape%20May%20New%20Jersey%20photos</x:v>
      </x:c>
      <x:c r="M570" s="16" t="str">
        <x:v>https://www.google.com/search?q=Cape%20May%20Historic%20District%20Cape%20May%20New%20Jersey%20wikipedia%20OR%20wikivoyage</x:v>
      </x:c>
      <x:c r="N570" s="16" t="str">
        <x:v>https://www.google.com/maps/search/?api=1&amp;query=Cape%20May%20Historic%20District%2C%20Cape%20May%2C%20New%20Jersey</x:v>
      </x:c>
      <x:c r="O570" s="17" t="b">
        <x:v>1</x:v>
      </x:c>
      <x:c r="P570" s="16" t="b">
        <x:f>IFERROR(VLOOKUP(A570,States!$A$2:$B$49,2,FALSE),FALSE)</x:f>
        <x:v>1</x:v>
      </x:c>
      <x:c r="Q570" s="16" t="b">
        <x:f>AND(OR(O570=TRUE,O570="TRUE"),OR(P570=TRUE,P570="TRUE"))</x:f>
        <x:v>1</x:v>
      </x:c>
    </x:row>
    <x:row r="571">
      <x:c r="A571" s="16" t="str">
        <x:v>New Jersey</x:v>
      </x:c>
      <x:c r="B571" s="16" t="str">
        <x:v>Princeton</x:v>
      </x:c>
      <x:c r="C571" s="16" t="n">
        <x:v>-74.667</x:v>
      </x:c>
      <x:c r="D571" s="16" t="n">
        <x:v>40.349</x:v>
      </x:c>
      <x:c r="E571" s="16" t="str">
        <x:v>Princeton University Art Museum and Campus</x:v>
      </x:c>
      <x:c r="F571" s="16" t="str">
        <x:v>Art lovers, architecture fans</x:v>
      </x:c>
      <x:c r="G571" s="16" t="str">
        <x:v>Campus walks and collections make Princeton a compact cultural stop.</x:v>
      </x:c>
      <x:c r="H571" s="16" t="str">
        <x:v>Museum</x:v>
      </x:c>
      <x:c r="I571" s="16" t="str">
        <x:v>https://www.google.com/search?q=Princeton%20University%20Art%20Museum%20and%20Campus%20Princeton%20New%20Jersey%20official%20website</x:v>
      </x:c>
      <x:c r="J571" s="16" t="str">
        <x:v>https://www.google.com/search?q=site%3Avisitnj.org%20Princeton%20University%20Art%20Museum%20and%20Campus</x:v>
      </x:c>
      <x:c r="K571" s="16" t="str">
        <x:v>https://www.google.com/search?q=Princeton%20University%20Art%20Museum%20and%20Campus%20Princeton%20New%20Jersey%20visitor%20information</x:v>
      </x:c>
      <x:c r="L571" s="16" t="str">
        <x:v>https://www.google.com/search?q=Princeton%20University%20Art%20Museum%20and%20Campus%20Princeton%20New%20Jersey%20photos</x:v>
      </x:c>
      <x:c r="M571" s="16" t="str">
        <x:v>https://www.google.com/search?q=Princeton%20University%20Art%20Museum%20and%20Campus%20Princeton%20New%20Jersey%20wikipedia%20OR%20wikivoyage</x:v>
      </x:c>
      <x:c r="N571" s="16" t="str">
        <x:v>https://www.google.com/maps/search/?api=1&amp;query=Princeton%20University%20Art%20Museum%20and%20Campus%2C%20Princeton%2C%20New%20Jersey</x:v>
      </x:c>
      <x:c r="O571" s="17" t="b">
        <x:v>1</x:v>
      </x:c>
      <x:c r="P571" s="16" t="b">
        <x:f>IFERROR(VLOOKUP(A571,States!$A$2:$B$49,2,FALSE),FALSE)</x:f>
        <x:v>1</x:v>
      </x:c>
      <x:c r="Q571" s="16" t="b">
        <x:f>AND(OR(O571=TRUE,O571="TRUE"),OR(P571=TRUE,P571="TRUE"))</x:f>
        <x:v>1</x:v>
      </x:c>
    </x:row>
    <x:row r="572">
      <x:c r="A572" s="16" t="str">
        <x:v>New Mexico</x:v>
      </x:c>
      <x:c r="B572" s="16" t="str">
        <x:v>Carlsbad</x:v>
      </x:c>
      <x:c r="C572" s="16" t="n">
        <x:v>-104.553</x:v>
      </x:c>
      <x:c r="D572" s="16" t="n">
        <x:v>32.148</x:v>
      </x:c>
      <x:c r="E572" s="16" t="str">
        <x:v>Carlsbad Caverns National Park</x:v>
      </x:c>
      <x:c r="F572" s="16" t="str">
        <x:v>Cave fans, families, photographers</x:v>
      </x:c>
      <x:c r="G572" s="16" t="str">
        <x:v>Huge limestone chambers and bat flights create a dramatic underground visit.</x:v>
      </x:c>
      <x:c r="H572" s="16" t="str">
        <x:v>National Park</x:v>
      </x:c>
      <x:c r="I572" s="16" t="str">
        <x:v>https://www.google.com/search?q=Carlsbad%20Caverns%20National%20Park%20Carlsbad%20New%20Mexico%20official%20website</x:v>
      </x:c>
      <x:c r="J572" s="16" t="str">
        <x:v>https://www.google.com/search?q=site%3Anewmexico.org%20Carlsbad%20Caverns%20National%20Park</x:v>
      </x:c>
      <x:c r="K572" s="16" t="str">
        <x:v>https://www.google.com/search?q=Carlsbad%20Caverns%20National%20Park%20Carlsbad%20New%20Mexico%20visitor%20information</x:v>
      </x:c>
      <x:c r="L572" s="16" t="str">
        <x:v>https://www.google.com/search?q=Carlsbad%20Caverns%20National%20Park%20Carlsbad%20New%20Mexico%20photos</x:v>
      </x:c>
      <x:c r="M572" s="16" t="str">
        <x:v>https://www.google.com/search?q=site%3Anps.gov%20Carlsbad%20Caverns%20National%20Park</x:v>
      </x:c>
      <x:c r="N572" s="16" t="str">
        <x:v>https://www.google.com/maps/search/?api=1&amp;query=Carlsbad%20Caverns%20National%20Park%2C%20Carlsbad%2C%20New%20Mexico</x:v>
      </x:c>
      <x:c r="O572" s="17" t="b">
        <x:v>1</x:v>
      </x:c>
      <x:c r="P572" s="16" t="b">
        <x:f>IFERROR(VLOOKUP(A572,States!$A$2:$B$49,2,FALSE),FALSE)</x:f>
        <x:v>1</x:v>
      </x:c>
      <x:c r="Q572" s="16" t="b">
        <x:f>AND(OR(O572=TRUE,O572="TRUE"),OR(P572=TRUE,P572="TRUE"))</x:f>
        <x:v>1</x:v>
      </x:c>
    </x:row>
    <x:row r="573">
      <x:c r="A573" s="16" t="str">
        <x:v>New Mexico</x:v>
      </x:c>
      <x:c r="B573" s="16" t="str">
        <x:v>Santa Fe</x:v>
      </x:c>
      <x:c r="C573" s="16" t="n">
        <x:v>-105.938</x:v>
      </x:c>
      <x:c r="D573" s="16" t="n">
        <x:v>35.688</x:v>
      </x:c>
      <x:c r="E573" s="16" t="str">
        <x:v>Santa Fe Plaza and Palace of the Governors</x:v>
      </x:c>
      <x:c r="F573" s="16" t="str">
        <x:v>Art lovers, history travelers, food lovers</x:v>
      </x:c>
      <x:c r="G573" s="16" t="str">
        <x:v>Historic adobe architecture, museums, galleries, and food anchor downtown Santa Fe.</x:v>
      </x:c>
      <x:c r="H573" s="16" t="str">
        <x:v>Historic Site</x:v>
      </x:c>
      <x:c r="I573" s="16" t="str">
        <x:v>https://www.google.com/search?q=Santa%20Fe%20Plaza%20and%20Palace%20of%20the%20Governors%20Santa%20Fe%20New%20Mexico%20official%20website</x:v>
      </x:c>
      <x:c r="J573" s="16" t="str">
        <x:v>https://www.google.com/search?q=site%3Anewmexico.org%20Santa%20Fe%20Plaza%20and%20Palace%20of%20the%20Governors</x:v>
      </x:c>
      <x:c r="K573" s="16" t="str">
        <x:v>https://www.google.com/search?q=Santa%20Fe%20Plaza%20and%20Palace%20of%20the%20Governors%20Santa%20Fe%20New%20Mexico%20visitor%20information</x:v>
      </x:c>
      <x:c r="L573" s="16" t="str">
        <x:v>https://www.google.com/search?q=Santa%20Fe%20Plaza%20and%20Palace%20of%20the%20Governors%20Santa%20Fe%20New%20Mexico%20photos</x:v>
      </x:c>
      <x:c r="M573" s="16" t="str">
        <x:v>https://www.google.com/search?q=Santa%20Fe%20Plaza%20and%20Palace%20of%20the%20Governors%20Santa%20Fe%20New%20Mexico%20wikipedia%20OR%20wikivoyage</x:v>
      </x:c>
      <x:c r="N573" s="16" t="str">
        <x:v>https://www.google.com/maps/search/?api=1&amp;query=Santa%20Fe%20Plaza%20and%20Palace%20of%20the%20Governors%2C%20Santa%20Fe%2C%20New%20Mexico</x:v>
      </x:c>
      <x:c r="O573" s="17" t="b">
        <x:v>1</x:v>
      </x:c>
      <x:c r="P573" s="16" t="b">
        <x:f>IFERROR(VLOOKUP(A573,States!$A$2:$B$49,2,FALSE),FALSE)</x:f>
        <x:v>1</x:v>
      </x:c>
      <x:c r="Q573" s="16" t="b">
        <x:f>AND(OR(O573=TRUE,O573="TRUE"),OR(P573=TRUE,P573="TRUE"))</x:f>
        <x:v>1</x:v>
      </x:c>
    </x:row>
    <x:row r="574">
      <x:c r="A574" s="16" t="str">
        <x:v>New Mexico</x:v>
      </x:c>
      <x:c r="B574" s="16" t="str">
        <x:v>Alamogordo</x:v>
      </x:c>
      <x:c r="C574" s="16" t="n">
        <x:v>-106.171</x:v>
      </x:c>
      <x:c r="D574" s="16" t="n">
        <x:v>32.779</x:v>
      </x:c>
      <x:c r="E574" s="16" t="str">
        <x:v>White Sands National Park</x:v>
      </x:c>
      <x:c r="F574" s="16" t="str">
        <x:v>Families, photographers, hikers</x:v>
      </x:c>
      <x:c r="G574" s="16" t="str">
        <x:v>Wave-like gypsum dunes create a bright and unusual desert landscape.</x:v>
      </x:c>
      <x:c r="H574" s="16" t="str">
        <x:v>National Park</x:v>
      </x:c>
      <x:c r="I574" s="16" t="str">
        <x:v>https://www.google.com/search?q=White%20Sands%20National%20Park%20Alamogordo%20New%20Mexico%20official%20website</x:v>
      </x:c>
      <x:c r="J574" s="16" t="str">
        <x:v>https://www.google.com/search?q=site%3Anewmexico.org%20White%20Sands%20National%20Park</x:v>
      </x:c>
      <x:c r="K574" s="16" t="str">
        <x:v>https://www.google.com/search?q=White%20Sands%20National%20Park%20Alamogordo%20New%20Mexico%20visitor%20information</x:v>
      </x:c>
      <x:c r="L574" s="16" t="str">
        <x:v>https://www.google.com/search?q=White%20Sands%20National%20Park%20Alamogordo%20New%20Mexico%20photos</x:v>
      </x:c>
      <x:c r="M574" s="16" t="str">
        <x:v>https://www.google.com/search?q=site%3Anps.gov%20White%20Sands%20National%20Park</x:v>
      </x:c>
      <x:c r="N574" s="16" t="str">
        <x:v>https://www.google.com/maps/search/?api=1&amp;query=White%20Sands%20National%20Park%2C%20Alamogordo%2C%20New%20Mexico</x:v>
      </x:c>
      <x:c r="O574" s="17" t="b">
        <x:v>1</x:v>
      </x:c>
      <x:c r="P574" s="16" t="b">
        <x:f>IFERROR(VLOOKUP(A574,States!$A$2:$B$49,2,FALSE),FALSE)</x:f>
        <x:v>1</x:v>
      </x:c>
      <x:c r="Q574" s="16" t="b">
        <x:f>AND(OR(O574=TRUE,O574="TRUE"),OR(P574=TRUE,P574="TRUE"))</x:f>
        <x:v>1</x:v>
      </x:c>
    </x:row>
    <x:row r="575">
      <x:c r="A575" s="16" t="str">
        <x:v>North Carolina</x:v>
      </x:c>
      <x:c r="B575" s="16" t="str">
        <x:v>Asheville</x:v>
      </x:c>
      <x:c r="C575" s="16" t="n">
        <x:v>-82.552</x:v>
      </x:c>
      <x:c r="D575" s="16" t="n">
        <x:v>35.54</x:v>
      </x:c>
      <x:c r="E575" s="16" t="str">
        <x:v>Biltmore Estate</x:v>
      </x:c>
      <x:c r="F575" s="16" t="str">
        <x:v>Architecture fans, garden lovers, families</x:v>
      </x:c>
      <x:c r="G575" s="16" t="str">
        <x:v>A grand mansion, gardens, and mountain setting anchor Asheville touring.</x:v>
      </x:c>
      <x:c r="H575" s="16" t="str">
        <x:v>Historic Site</x:v>
      </x:c>
      <x:c r="I575" s="16" t="str">
        <x:v>https://www.google.com/search?q=Biltmore%20Estate%20Asheville%20North%20Carolina%20official%20website</x:v>
      </x:c>
      <x:c r="J575" s="16" t="str">
        <x:v>https://www.google.com/search?q=site%3Avisitnc.com%20Biltmore%20Estate</x:v>
      </x:c>
      <x:c r="K575" s="16" t="str">
        <x:v>https://www.google.com/search?q=Biltmore%20Estate%20Asheville%20North%20Carolina%20visitor%20information</x:v>
      </x:c>
      <x:c r="L575" s="16" t="str">
        <x:v>https://www.google.com/search?q=Biltmore%20Estate%20Asheville%20North%20Carolina%20photos</x:v>
      </x:c>
      <x:c r="M575" s="16" t="str">
        <x:v>https://www.google.com/search?q=Biltmore%20Estate%20Asheville%20North%20Carolina%20wikipedia%20OR%20wikivoyage</x:v>
      </x:c>
      <x:c r="N575" s="16" t="str">
        <x:v>https://www.google.com/maps/search/?api=1&amp;query=Biltmore%20Estate%2C%20Asheville%2C%20North%20Carolina</x:v>
      </x:c>
      <x:c r="O575" s="17" t="b">
        <x:v>1</x:v>
      </x:c>
      <x:c r="P575" s="16" t="b">
        <x:f>IFERROR(VLOOKUP(A575,States!$A$2:$B$49,2,FALSE),FALSE)</x:f>
        <x:v>1</x:v>
      </x:c>
      <x:c r="Q575" s="16" t="b">
        <x:f>AND(OR(O575=TRUE,O575="TRUE"),OR(P575=TRUE,P575="TRUE"))</x:f>
        <x:v>1</x:v>
      </x:c>
    </x:row>
    <x:row r="576">
      <x:c r="A576" s="16" t="str">
        <x:v>North Carolina</x:v>
      </x:c>
      <x:c r="B576" s="16" t="str">
        <x:v>Manteo</x:v>
      </x:c>
      <x:c r="C576" s="16" t="n">
        <x:v>-75.67</x:v>
      </x:c>
      <x:c r="D576" s="16" t="n">
        <x:v>35.936</x:v>
      </x:c>
      <x:c r="E576" s="16" t="str">
        <x:v>Outer Banks and Cape Hatteras National Seashore</x:v>
      </x:c>
      <x:c r="F576" s="16" t="str">
        <x:v>Beachgoers, lighthouse fans, families</x:v>
      </x:c>
      <x:c r="G576" s="16" t="str">
        <x:v>Barrier islands, lighthouses, and Atlantic beaches define the coast.</x:v>
      </x:c>
      <x:c r="H576" s="16" t="str">
        <x:v>National Seashore</x:v>
      </x:c>
      <x:c r="I576" s="16" t="str">
        <x:v>https://www.google.com/search?q=Outer%20Banks%20and%20Cape%20Hatteras%20National%20Seashore%20Manteo%20North%20Carolina%20official%20website</x:v>
      </x:c>
      <x:c r="J576" s="16" t="str">
        <x:v>https://www.google.com/search?q=site%3Avisitnc.com%20Outer%20Banks%20and%20Cape%20Hatteras%20National%20Seashore</x:v>
      </x:c>
      <x:c r="K576" s="16" t="str">
        <x:v>https://www.google.com/search?q=Outer%20Banks%20and%20Cape%20Hatteras%20National%20Seashore%20Manteo%20North%20Carolina%20visitor%20information</x:v>
      </x:c>
      <x:c r="L576" s="16" t="str">
        <x:v>https://www.google.com/search?q=Outer%20Banks%20and%20Cape%20Hatteras%20National%20Seashore%20Manteo%20North%20Carolina%20photos</x:v>
      </x:c>
      <x:c r="M576" s="16" t="str">
        <x:v>https://www.google.com/search?q=site%3Anps.gov%20Outer%20Banks%20and%20Cape%20Hatteras%20National%20Seashore</x:v>
      </x:c>
      <x:c r="N576" s="16" t="str">
        <x:v>https://www.google.com/maps/search/?api=1&amp;query=Outer%20Banks%20and%20Cape%20Hatteras%20National%20Seashore%2C%20Manteo%2C%20North%20Carolina</x:v>
      </x:c>
      <x:c r="O576" s="17" t="b">
        <x:v>1</x:v>
      </x:c>
      <x:c r="P576" s="16" t="b">
        <x:f>IFERROR(VLOOKUP(A576,States!$A$2:$B$49,2,FALSE),FALSE)</x:f>
        <x:v>1</x:v>
      </x:c>
      <x:c r="Q576" s="16" t="b">
        <x:f>AND(OR(O576=TRUE,O576="TRUE"),OR(P576=TRUE,P576="TRUE"))</x:f>
        <x:v>1</x:v>
      </x:c>
    </x:row>
    <x:row r="577">
      <x:c r="A577" s="16" t="str">
        <x:v>North Carolina</x:v>
      </x:c>
      <x:c r="B577" s="16" t="str">
        <x:v>Bryson City</x:v>
      </x:c>
      <x:c r="C577" s="16" t="n">
        <x:v>-83.489</x:v>
      </x:c>
      <x:c r="D577" s="16" t="n">
        <x:v>35.602</x:v>
      </x:c>
      <x:c r="E577" s="16" t="str">
        <x:v>Great Smoky Mountains National Park</x:v>
      </x:c>
      <x:c r="F577" s="16" t="str">
        <x:v>Hikers, families, wildlife watchers</x:v>
      </x:c>
      <x:c r="G577" s="16" t="str">
        <x:v>Forests, waterfalls, and mountain roads fill America's most visited national park.</x:v>
      </x:c>
      <x:c r="H577" s="16" t="str">
        <x:v>National Park</x:v>
      </x:c>
      <x:c r="I577" s="16" t="str">
        <x:v>https://www.google.com/search?q=Great%20Smoky%20Mountains%20National%20Park%20Bryson%20City%20North%20Carolina%20official%20website</x:v>
      </x:c>
      <x:c r="J577" s="16" t="str">
        <x:v>https://www.google.com/search?q=site%3Avisitnc.com%20Great%20Smoky%20Mountains%20National%20Park</x:v>
      </x:c>
      <x:c r="K577" s="16" t="str">
        <x:v>https://www.google.com/search?q=Great%20Smoky%20Mountains%20National%20Park%20Bryson%20City%20North%20Carolina%20visitor%20information</x:v>
      </x:c>
      <x:c r="L577" s="16" t="str">
        <x:v>https://www.google.com/search?q=Great%20Smoky%20Mountains%20National%20Park%20Bryson%20City%20North%20Carolina%20photos</x:v>
      </x:c>
      <x:c r="M577" s="16" t="str">
        <x:v>https://www.google.com/search?q=site%3Anps.gov%20Great%20Smoky%20Mountains%20National%20Park</x:v>
      </x:c>
      <x:c r="N577" s="16" t="str">
        <x:v>https://www.google.com/maps/search/?api=1&amp;query=Great%20Smoky%20Mountains%20National%20Park%2C%20Bryson%20City%2C%20North%20Carolina</x:v>
      </x:c>
      <x:c r="O577" s="17" t="b">
        <x:v>1</x:v>
      </x:c>
      <x:c r="P577" s="16" t="b">
        <x:f>IFERROR(VLOOKUP(A577,States!$A$2:$B$49,2,FALSE),FALSE)</x:f>
        <x:v>1</x:v>
      </x:c>
      <x:c r="Q577" s="16" t="b">
        <x:f>AND(OR(O577=TRUE,O577="TRUE"),OR(P577=TRUE,P577="TRUE"))</x:f>
        <x:v>1</x:v>
      </x:c>
    </x:row>
    <x:row r="578">
      <x:c r="A578" s="16" t="str">
        <x:v>Oklahoma</x:v>
      </x:c>
      <x:c r="B578" s="16" t="str">
        <x:v>Oklahoma City</x:v>
      </x:c>
      <x:c r="C578" s="16" t="n">
        <x:v>-97.517</x:v>
      </x:c>
      <x:c r="D578" s="16" t="n">
        <x:v>35.473</x:v>
      </x:c>
      <x:c r="E578" s="16" t="str">
        <x:v>Oklahoma City National Memorial and Museum</x:v>
      </x:c>
      <x:c r="F578" s="16" t="str">
        <x:v>History travelers, families</x:v>
      </x:c>
      <x:c r="G578" s="16" t="str">
        <x:v>A reflective memorial and museum honor victims and explain the 1995 bombing.</x:v>
      </x:c>
      <x:c r="H578" s="16" t="str">
        <x:v>Memorial</x:v>
      </x:c>
      <x:c r="I578" s="16" t="str">
        <x:v>https://www.google.com/search?q=Oklahoma%20City%20National%20Memorial%20and%20Museum%20Oklahoma%20City%20Oklahoma%20official%20website</x:v>
      </x:c>
      <x:c r="J578" s="16" t="str">
        <x:v>https://www.google.com/search?q=site%3Atravelok.com%20Oklahoma%20City%20National%20Memorial%20and%20Museum</x:v>
      </x:c>
      <x:c r="K578" s="16" t="str">
        <x:v>https://www.google.com/search?q=Oklahoma%20City%20National%20Memorial%20and%20Museum%20Oklahoma%20City%20Oklahoma%20visitor%20information</x:v>
      </x:c>
      <x:c r="L578" s="16" t="str">
        <x:v>https://www.google.com/search?q=Oklahoma%20City%20National%20Memorial%20and%20Museum%20Oklahoma%20City%20Oklahoma%20photos</x:v>
      </x:c>
      <x:c r="M578" s="16" t="str">
        <x:v>https://www.google.com/search?q=Oklahoma%20City%20National%20Memorial%20and%20Museum%20Oklahoma%20City%20Oklahoma%20wikipedia%20OR%20wikivoyage</x:v>
      </x:c>
      <x:c r="N578" s="16" t="str">
        <x:v>https://www.google.com/maps/search/?api=1&amp;query=Oklahoma%20City%20National%20Memorial%20and%20Museum%2C%20Oklahoma%20City%2C%20Oklahoma</x:v>
      </x:c>
      <x:c r="O578" s="17" t="b">
        <x:v>1</x:v>
      </x:c>
      <x:c r="P578" s="16" t="b">
        <x:f>IFERROR(VLOOKUP(A578,States!$A$2:$B$49,2,FALSE),FALSE)</x:f>
        <x:v>1</x:v>
      </x:c>
      <x:c r="Q578" s="16" t="b">
        <x:f>AND(OR(O578=TRUE,O578="TRUE"),OR(P578=TRUE,P578="TRUE"))</x:f>
        <x:v>1</x:v>
      </x:c>
    </x:row>
    <x:row r="579">
      <x:c r="A579" s="16" t="str">
        <x:v>Oklahoma</x:v>
      </x:c>
      <x:c r="B579" s="16" t="str">
        <x:v>Tulsa</x:v>
      </x:c>
      <x:c r="C579" s="16" t="n">
        <x:v>-95.965</x:v>
      </x:c>
      <x:c r="D579" s="16" t="n">
        <x:v>36.136</x:v>
      </x:c>
      <x:c r="E579" s="16" t="str">
        <x:v>Philbrook Museum of Art</x:v>
      </x:c>
      <x:c r="F579" s="16" t="str">
        <x:v>Art lovers, garden lovers</x:v>
      </x:c>
      <x:c r="G579" s="16" t="str">
        <x:v>An Italianate villa, gardens, and collections create a refined Tulsa stop.</x:v>
      </x:c>
      <x:c r="H579" s="16" t="str">
        <x:v>Museum</x:v>
      </x:c>
      <x:c r="I579" s="16" t="str">
        <x:v>https://www.google.com/search?q=Philbrook%20Museum%20of%20Art%20Tulsa%20Oklahoma%20official%20website</x:v>
      </x:c>
      <x:c r="J579" s="16" t="str">
        <x:v>https://www.google.com/search?q=site%3Atravelok.com%20Philbrook%20Museum%20of%20Art</x:v>
      </x:c>
      <x:c r="K579" s="16" t="str">
        <x:v>https://www.google.com/search?q=Philbrook%20Museum%20of%20Art%20Tulsa%20Oklahoma%20visitor%20information</x:v>
      </x:c>
      <x:c r="L579" s="16" t="str">
        <x:v>https://www.google.com/search?q=Philbrook%20Museum%20of%20Art%20Tulsa%20Oklahoma%20photos</x:v>
      </x:c>
      <x:c r="M579" s="16" t="str">
        <x:v>https://www.google.com/search?q=Philbrook%20Museum%20of%20Art%20Tulsa%20Oklahoma%20wikipedia%20OR%20wikivoyage</x:v>
      </x:c>
      <x:c r="N579" s="16" t="str">
        <x:v>https://www.google.com/maps/search/?api=1&amp;query=Philbrook%20Museum%20of%20Art%2C%20Tulsa%2C%20Oklahoma</x:v>
      </x:c>
      <x:c r="O579" s="17" t="b">
        <x:v>1</x:v>
      </x:c>
      <x:c r="P579" s="16" t="b">
        <x:f>IFERROR(VLOOKUP(A579,States!$A$2:$B$49,2,FALSE),FALSE)</x:f>
        <x:v>1</x:v>
      </x:c>
      <x:c r="Q579" s="16" t="b">
        <x:f>AND(OR(O579=TRUE,O579="TRUE"),OR(P579=TRUE,P579="TRUE"))</x:f>
        <x:v>1</x:v>
      </x:c>
    </x:row>
    <x:row r="580">
      <x:c r="A580" s="16" t="str">
        <x:v>Oklahoma</x:v>
      </x:c>
      <x:c r="B580" s="16" t="str">
        <x:v>Sulphur</x:v>
      </x:c>
      <x:c r="C580" s="16" t="n">
        <x:v>-97.018</x:v>
      </x:c>
      <x:c r="D580" s="16" t="n">
        <x:v>34.496</x:v>
      </x:c>
      <x:c r="E580" s="16" t="str">
        <x:v>Chickasaw National Recreation Area</x:v>
      </x:c>
      <x:c r="F580" s="16" t="str">
        <x:v>Families, hikers, swimmers</x:v>
      </x:c>
      <x:c r="G580" s="16" t="str">
        <x:v>Springs, streams, trails, and lakes make a gentle outdoor destination.</x:v>
      </x:c>
      <x:c r="H580" s="16" t="str">
        <x:v>National Recreation Area</x:v>
      </x:c>
      <x:c r="I580" s="16" t="str">
        <x:v>https://www.google.com/search?q=Chickasaw%20National%20Recreation%20Area%20Sulphur%20Oklahoma%20official%20website</x:v>
      </x:c>
      <x:c r="J580" s="16" t="str">
        <x:v>https://www.google.com/search?q=site%3Atravelok.com%20Chickasaw%20National%20Recreation%20Area</x:v>
      </x:c>
      <x:c r="K580" s="16" t="str">
        <x:v>https://www.google.com/search?q=Chickasaw%20National%20Recreation%20Area%20Sulphur%20Oklahoma%20visitor%20information</x:v>
      </x:c>
      <x:c r="L580" s="16" t="str">
        <x:v>https://www.google.com/search?q=Chickasaw%20National%20Recreation%20Area%20Sulphur%20Oklahoma%20photos</x:v>
      </x:c>
      <x:c r="M580" s="16" t="str">
        <x:v>https://www.google.com/search?q=site%3Anps.gov%20Chickasaw%20National%20Recreation%20Area</x:v>
      </x:c>
      <x:c r="N580" s="16" t="str">
        <x:v>https://www.google.com/maps/search/?api=1&amp;query=Chickasaw%20National%20Recreation%20Area%2C%20Sulphur%2C%20Oklahoma</x:v>
      </x:c>
      <x:c r="O580" s="17" t="b">
        <x:v>1</x:v>
      </x:c>
      <x:c r="P580" s="16" t="b">
        <x:f>IFERROR(VLOOKUP(A580,States!$A$2:$B$49,2,FALSE),FALSE)</x:f>
        <x:v>1</x:v>
      </x:c>
      <x:c r="Q580" s="16" t="b">
        <x:f>AND(OR(O580=TRUE,O580="TRUE"),OR(P580=TRUE,P580="TRUE"))</x:f>
        <x:v>1</x:v>
      </x:c>
    </x:row>
    <x:row r="581">
      <x:c r="A581" s="16" t="str">
        <x:v>Rhode Island</x:v>
      </x:c>
      <x:c r="B581" s="16" t="str">
        <x:v>Newport</x:v>
      </x:c>
      <x:c r="C581" s="16" t="n">
        <x:v>-71.306</x:v>
      </x:c>
      <x:c r="D581" s="16" t="n">
        <x:v>41.469</x:v>
      </x:c>
      <x:c r="E581" s="16" t="str">
        <x:v>The Breakers</x:v>
      </x:c>
      <x:c r="F581" s="16" t="str">
        <x:v>Architecture fans, history travelers</x:v>
      </x:c>
      <x:c r="G581" s="16" t="str">
        <x:v>A Gilded Age mansion showcases Newport's grand seaside estate era.</x:v>
      </x:c>
      <x:c r="H581" s="16" t="str">
        <x:v>Historic Site</x:v>
      </x:c>
      <x:c r="I581" s="16" t="str">
        <x:v>https://www.google.com/search?q=The%20Breakers%20Newport%20Rhode%20Island%20official%20website</x:v>
      </x:c>
      <x:c r="J581" s="16" t="str">
        <x:v>https://www.google.com/search?q=site%3Avisitrhodeisland.com%20The%20Breakers</x:v>
      </x:c>
      <x:c r="K581" s="16" t="str">
        <x:v>https://www.google.com/search?q=The%20Breakers%20Newport%20Rhode%20Island%20visitor%20information</x:v>
      </x:c>
      <x:c r="L581" s="16" t="str">
        <x:v>https://www.google.com/search?q=The%20Breakers%20Newport%20Rhode%20Island%20photos</x:v>
      </x:c>
      <x:c r="M581" s="16" t="str">
        <x:v>https://www.google.com/search?q=The%20Breakers%20Newport%20Rhode%20Island%20wikipedia%20OR%20wikivoyage</x:v>
      </x:c>
      <x:c r="N581" s="16" t="str">
        <x:v>https://www.google.com/maps/search/?api=1&amp;query=The%20Breakers%2C%20Newport%2C%20Rhode%20Island</x:v>
      </x:c>
      <x:c r="O581" s="17" t="b">
        <x:v>1</x:v>
      </x:c>
      <x:c r="P581" s="16" t="b">
        <x:f>IFERROR(VLOOKUP(A581,States!$A$2:$B$49,2,FALSE),FALSE)</x:f>
        <x:v>1</x:v>
      </x:c>
      <x:c r="Q581" s="16" t="b">
        <x:f>AND(OR(O581=TRUE,O581="TRUE"),OR(P581=TRUE,P581="TRUE"))</x:f>
        <x:v>1</x:v>
      </x:c>
    </x:row>
    <x:row r="582">
      <x:c r="A582" s="16" t="str">
        <x:v>Rhode Island</x:v>
      </x:c>
      <x:c r="B582" s="16" t="str">
        <x:v>Providence</x:v>
      </x:c>
      <x:c r="C582" s="16" t="n">
        <x:v>-71.407</x:v>
      </x:c>
      <x:c r="D582" s="16" t="n">
        <x:v>41.826</x:v>
      </x:c>
      <x:c r="E582" s="16" t="str">
        <x:v>RISD Museum</x:v>
      </x:c>
      <x:c r="F582" s="16" t="str">
        <x:v>Art lovers, design travelers</x:v>
      </x:c>
      <x:c r="G582" s="16" t="str">
        <x:v>A strong art and design collection sits beside a creative city campus.</x:v>
      </x:c>
      <x:c r="H582" s="16" t="str">
        <x:v>Museum</x:v>
      </x:c>
      <x:c r="I582" s="16" t="str">
        <x:v>https://www.google.com/search?q=RISD%20Museum%20Providence%20Rhode%20Island%20official%20website</x:v>
      </x:c>
      <x:c r="J582" s="16" t="str">
        <x:v>https://www.google.com/search?q=site%3Avisitrhodeisland.com%20RISD%20Museum</x:v>
      </x:c>
      <x:c r="K582" s="16" t="str">
        <x:v>https://www.google.com/search?q=RISD%20Museum%20Providence%20Rhode%20Island%20visitor%20information</x:v>
      </x:c>
      <x:c r="L582" s="16" t="str">
        <x:v>https://www.google.com/search?q=RISD%20Museum%20Providence%20Rhode%20Island%20photos</x:v>
      </x:c>
      <x:c r="M582" s="16" t="str">
        <x:v>https://www.google.com/search?q=RISD%20Museum%20Providence%20Rhode%20Island%20wikipedia%20OR%20wikivoyage</x:v>
      </x:c>
      <x:c r="N582" s="16" t="str">
        <x:v>https://www.google.com/maps/search/?api=1&amp;query=RISD%20Museum%2C%20Providence%2C%20Rhode%20Island</x:v>
      </x:c>
      <x:c r="O582" s="17" t="b">
        <x:v>1</x:v>
      </x:c>
      <x:c r="P582" s="16" t="b">
        <x:f>IFERROR(VLOOKUP(A582,States!$A$2:$B$49,2,FALSE),FALSE)</x:f>
        <x:v>1</x:v>
      </x:c>
      <x:c r="Q582" s="16" t="b">
        <x:f>AND(OR(O582=TRUE,O582="TRUE"),OR(P582=TRUE,P582="TRUE"))</x:f>
        <x:v>1</x:v>
      </x:c>
    </x:row>
    <x:row r="583">
      <x:c r="A583" s="16" t="str">
        <x:v>Rhode Island</x:v>
      </x:c>
      <x:c r="B583" s="16" t="str">
        <x:v>Narragansett</x:v>
      </x:c>
      <x:c r="C583" s="16" t="n">
        <x:v>-71.455</x:v>
      </x:c>
      <x:c r="D583" s="16" t="n">
        <x:v>41.361</x:v>
      </x:c>
      <x:c r="E583" s="16" t="str">
        <x:v>Narragansett Town Beach</x:v>
      </x:c>
      <x:c r="F583" s="16" t="str">
        <x:v>Beachgoers, families, surfers</x:v>
      </x:c>
      <x:c r="G583" s="16" t="str">
        <x:v>A broad sandy beach gives Rhode Island a classic coastal stop.</x:v>
      </x:c>
      <x:c r="H583" s="16" t="str">
        <x:v>Beach</x:v>
      </x:c>
      <x:c r="I583" s="16" t="str">
        <x:v>https://www.google.com/search?q=Narragansett%20Town%20Beach%20Narragansett%20Rhode%20Island%20official%20website</x:v>
      </x:c>
      <x:c r="J583" s="16" t="str">
        <x:v>https://www.google.com/search?q=site%3Avisitrhodeisland.com%20Narragansett%20Town%20Beach</x:v>
      </x:c>
      <x:c r="K583" s="16" t="str">
        <x:v>https://www.google.com/search?q=Narragansett%20Town%20Beach%20Narragansett%20Rhode%20Island%20visitor%20information</x:v>
      </x:c>
      <x:c r="L583" s="16" t="str">
        <x:v>https://www.google.com/search?q=Narragansett%20Town%20Beach%20Narragansett%20Rhode%20Island%20photos</x:v>
      </x:c>
      <x:c r="M583" s="16" t="str">
        <x:v>https://www.google.com/search?q=Narragansett%20Town%20Beach%20Narragansett%20Rhode%20Island%20wikipedia%20OR%20wikivoyage</x:v>
      </x:c>
      <x:c r="N583" s="16" t="str">
        <x:v>https://www.google.com/maps/search/?api=1&amp;query=Narragansett%20Town%20Beach%2C%20Narragansett%2C%20Rhode%20Island</x:v>
      </x:c>
      <x:c r="O583" s="17" t="b">
        <x:v>1</x:v>
      </x:c>
      <x:c r="P583" s="16" t="b">
        <x:f>IFERROR(VLOOKUP(A583,States!$A$2:$B$49,2,FALSE),FALSE)</x:f>
        <x:v>1</x:v>
      </x:c>
      <x:c r="Q583" s="16" t="b">
        <x:f>AND(OR(O583=TRUE,O583="TRUE"),OR(P583=TRUE,P583="TRUE"))</x:f>
        <x:v>1</x:v>
      </x:c>
    </x:row>
    <x:row r="584">
      <x:c r="A584" s="16" t="str">
        <x:v>South Carolina</x:v>
      </x:c>
      <x:c r="B584" s="16" t="str">
        <x:v>Charleston</x:v>
      </x:c>
      <x:c r="C584" s="16" t="n">
        <x:v>-79.931</x:v>
      </x:c>
      <x:c r="D584" s="16" t="n">
        <x:v>32.776</x:v>
      </x:c>
      <x:c r="E584" s="16" t="str">
        <x:v>Charleston Historic District</x:v>
      </x:c>
      <x:c r="F584" s="16" t="str">
        <x:v>History travelers, food lovers, walkers</x:v>
      </x:c>
      <x:c r="G584" s="16" t="str">
        <x:v>Historic streets, harbor views, and architecture define a major Southern city.</x:v>
      </x:c>
      <x:c r="H584" s="16" t="str">
        <x:v>Historic Site</x:v>
      </x:c>
      <x:c r="I584" s="16" t="str">
        <x:v>https://www.google.com/search?q=Charleston%20Historic%20District%20Charleston%20South%20Carolina%20official%20website</x:v>
      </x:c>
      <x:c r="J584" s="16" t="str">
        <x:v>https://www.google.com/search?q=site%3Adiscoversouthcarolina.com%20Charleston%20Historic%20District</x:v>
      </x:c>
      <x:c r="K584" s="16" t="str">
        <x:v>https://www.google.com/search?q=Charleston%20Historic%20District%20Charleston%20South%20Carolina%20visitor%20information</x:v>
      </x:c>
      <x:c r="L584" s="16" t="str">
        <x:v>https://www.google.com/search?q=Charleston%20Historic%20District%20Charleston%20South%20Carolina%20photos</x:v>
      </x:c>
      <x:c r="M584" s="16" t="str">
        <x:v>https://www.google.com/search?q=Charleston%20Historic%20District%20Charleston%20South%20Carolina%20wikipedia%20OR%20wikivoyage</x:v>
      </x:c>
      <x:c r="N584" s="16" t="str">
        <x:v>https://www.google.com/maps/search/?api=1&amp;query=Charleston%20Historic%20District%2C%20Charleston%2C%20South%20Carolina</x:v>
      </x:c>
      <x:c r="O584" s="17" t="b">
        <x:v>1</x:v>
      </x:c>
      <x:c r="P584" s="16" t="b">
        <x:f>IFERROR(VLOOKUP(A584,States!$A$2:$B$49,2,FALSE),FALSE)</x:f>
        <x:v>1</x:v>
      </x:c>
      <x:c r="Q584" s="16" t="b">
        <x:f>AND(OR(O584=TRUE,O584="TRUE"),OR(P584=TRUE,P584="TRUE"))</x:f>
        <x:v>1</x:v>
      </x:c>
    </x:row>
    <x:row r="585">
      <x:c r="A585" s="16" t="str">
        <x:v>South Carolina</x:v>
      </x:c>
      <x:c r="B585" s="16" t="str">
        <x:v>Hopkins</x:v>
      </x:c>
      <x:c r="C585" s="16" t="n">
        <x:v>-80.78</x:v>
      </x:c>
      <x:c r="D585" s="16" t="n">
        <x:v>33.792</x:v>
      </x:c>
      <x:c r="E585" s="16" t="str">
        <x:v>Congaree National Park</x:v>
      </x:c>
      <x:c r="F585" s="16" t="str">
        <x:v>Hikers, paddlers, wildlife watchers</x:v>
      </x:c>
      <x:c r="G585" s="16" t="str">
        <x:v>Boardwalks and paddling routes explore old-growth bottomland forest.</x:v>
      </x:c>
      <x:c r="H585" s="16" t="str">
        <x:v>National Park</x:v>
      </x:c>
      <x:c r="I585" s="16" t="str">
        <x:v>https://www.google.com/search?q=Congaree%20National%20Park%20Hopkins%20South%20Carolina%20official%20website</x:v>
      </x:c>
      <x:c r="J585" s="16" t="str">
        <x:v>https://www.google.com/search?q=site%3Adiscoversouthcarolina.com%20Congaree%20National%20Park</x:v>
      </x:c>
      <x:c r="K585" s="16" t="str">
        <x:v>https://www.google.com/search?q=Congaree%20National%20Park%20Hopkins%20South%20Carolina%20visitor%20information</x:v>
      </x:c>
      <x:c r="L585" s="16" t="str">
        <x:v>https://www.google.com/search?q=Congaree%20National%20Park%20Hopkins%20South%20Carolina%20photos</x:v>
      </x:c>
      <x:c r="M585" s="16" t="str">
        <x:v>https://www.google.com/search?q=site%3Anps.gov%20Congaree%20National%20Park</x:v>
      </x:c>
      <x:c r="N585" s="16" t="str">
        <x:v>https://www.google.com/maps/search/?api=1&amp;query=Congaree%20National%20Park%2C%20Hopkins%2C%20South%20Carolina</x:v>
      </x:c>
      <x:c r="O585" s="17" t="b">
        <x:v>1</x:v>
      </x:c>
      <x:c r="P585" s="16" t="b">
        <x:f>IFERROR(VLOOKUP(A585,States!$A$2:$B$49,2,FALSE),FALSE)</x:f>
        <x:v>1</x:v>
      </x:c>
      <x:c r="Q585" s="16" t="b">
        <x:f>AND(OR(O585=TRUE,O585="TRUE"),OR(P585=TRUE,P585="TRUE"))</x:f>
        <x:v>1</x:v>
      </x:c>
    </x:row>
    <x:row r="586">
      <x:c r="A586" s="16" t="str">
        <x:v>South Carolina</x:v>
      </x:c>
      <x:c r="B586" s="16" t="str">
        <x:v>Myrtle Beach</x:v>
      </x:c>
      <x:c r="C586" s="16" t="n">
        <x:v>-78.887</x:v>
      </x:c>
      <x:c r="D586" s="16" t="n">
        <x:v>33.689</x:v>
      </x:c>
      <x:c r="E586" s="16" t="str">
        <x:v>Myrtle Beach Boardwalk</x:v>
      </x:c>
      <x:c r="F586" s="16" t="str">
        <x:v>Beachgoers, families</x:v>
      </x:c>
      <x:c r="G586" s="16" t="str">
        <x:v>Beach, restaurants, arcades, and entertainment create a busy coastal resort stop.</x:v>
      </x:c>
      <x:c r="H586" s="16" t="str">
        <x:v>Beach</x:v>
      </x:c>
      <x:c r="I586" s="16" t="str">
        <x:v>https://www.google.com/search?q=Myrtle%20Beach%20Boardwalk%20Myrtle%20Beach%20South%20Carolina%20official%20website</x:v>
      </x:c>
      <x:c r="J586" s="16" t="str">
        <x:v>https://www.google.com/search?q=site%3Adiscoversouthcarolina.com%20Myrtle%20Beach%20Boardwalk</x:v>
      </x:c>
      <x:c r="K586" s="16" t="str">
        <x:v>https://www.google.com/search?q=Myrtle%20Beach%20Boardwalk%20Myrtle%20Beach%20South%20Carolina%20visitor%20information</x:v>
      </x:c>
      <x:c r="L586" s="16" t="str">
        <x:v>https://www.google.com/search?q=Myrtle%20Beach%20Boardwalk%20Myrtle%20Beach%20South%20Carolina%20photos</x:v>
      </x:c>
      <x:c r="M586" s="16" t="str">
        <x:v>https://www.google.com/search?q=Myrtle%20Beach%20Boardwalk%20Myrtle%20Beach%20South%20Carolina%20wikipedia%20OR%20wikivoyage</x:v>
      </x:c>
      <x:c r="N586" s="16" t="str">
        <x:v>https://www.google.com/maps/search/?api=1&amp;query=Myrtle%20Beach%20Boardwalk%2C%20Myrtle%20Beach%2C%20South%20Carolina</x:v>
      </x:c>
      <x:c r="O586" s="17" t="b">
        <x:v>1</x:v>
      </x:c>
      <x:c r="P586" s="16" t="b">
        <x:f>IFERROR(VLOOKUP(A586,States!$A$2:$B$49,2,FALSE),FALSE)</x:f>
        <x:v>1</x:v>
      </x:c>
      <x:c r="Q586" s="16" t="b">
        <x:f>AND(OR(O586=TRUE,O586="TRUE"),OR(P586=TRUE,P586="TRUE"))</x:f>
        <x:v>1</x:v>
      </x:c>
    </x:row>
    <x:row r="587">
      <x:c r="A587" s="16" t="str">
        <x:v>Tennessee</x:v>
      </x:c>
      <x:c r="B587" s="16" t="str">
        <x:v>Gatlinburg</x:v>
      </x:c>
      <x:c r="C587" s="16" t="n">
        <x:v>-83.508</x:v>
      </x:c>
      <x:c r="D587" s="16" t="n">
        <x:v>35.611</x:v>
      </x:c>
      <x:c r="E587" s="16" t="str">
        <x:v>Great Smoky Mountains National Park</x:v>
      </x:c>
      <x:c r="F587" s="16" t="str">
        <x:v>Hikers, families, wildlife watchers</x:v>
      </x:c>
      <x:c r="G587" s="16" t="str">
        <x:v>Mountain roads, trails, waterfalls, and wildlife anchor eastern Tennessee.</x:v>
      </x:c>
      <x:c r="H587" s="16" t="str">
        <x:v>National Park</x:v>
      </x:c>
      <x:c r="I587" s="16" t="str">
        <x:v>https://www.google.com/search?q=Great%20Smoky%20Mountains%20National%20Park%20Gatlinburg%20Tennessee%20official%20website</x:v>
      </x:c>
      <x:c r="J587" s="16" t="str">
        <x:v>https://www.google.com/search?q=site%3Atnvacation.com%20Great%20Smoky%20Mountains%20National%20Park</x:v>
      </x:c>
      <x:c r="K587" s="16" t="str">
        <x:v>https://www.google.com/search?q=Great%20Smoky%20Mountains%20National%20Park%20Gatlinburg%20Tennessee%20visitor%20information</x:v>
      </x:c>
      <x:c r="L587" s="16" t="str">
        <x:v>https://www.google.com/search?q=Great%20Smoky%20Mountains%20National%20Park%20Gatlinburg%20Tennessee%20photos</x:v>
      </x:c>
      <x:c r="M587" s="16" t="str">
        <x:v>https://www.google.com/search?q=site%3Anps.gov%20Great%20Smoky%20Mountains%20National%20Park</x:v>
      </x:c>
      <x:c r="N587" s="16" t="str">
        <x:v>https://www.google.com/maps/search/?api=1&amp;query=Great%20Smoky%20Mountains%20National%20Park%2C%20Gatlinburg%2C%20Tennessee</x:v>
      </x:c>
      <x:c r="O587" s="17" t="b">
        <x:v>1</x:v>
      </x:c>
      <x:c r="P587" s="16" t="b">
        <x:f>IFERROR(VLOOKUP(A587,States!$A$2:$B$49,2,FALSE),FALSE)</x:f>
        <x:v>1</x:v>
      </x:c>
      <x:c r="Q587" s="16" t="b">
        <x:f>AND(OR(O587=TRUE,O587="TRUE"),OR(P587=TRUE,P587="TRUE"))</x:f>
        <x:v>1</x:v>
      </x:c>
    </x:row>
    <x:row r="588">
      <x:c r="A588" s="16" t="str">
        <x:v>Tennessee</x:v>
      </x:c>
      <x:c r="B588" s="16" t="str">
        <x:v>Memphis</x:v>
      </x:c>
      <x:c r="C588" s="16" t="n">
        <x:v>-90.023</x:v>
      </x:c>
      <x:c r="D588" s="16" t="n">
        <x:v>35.047</x:v>
      </x:c>
      <x:c r="E588" s="16" t="str">
        <x:v>Graceland</x:v>
      </x:c>
      <x:c r="F588" s="16" t="str">
        <x:v>Music fans, families</x:v>
      </x:c>
      <x:c r="G588" s="16" t="str">
        <x:v>Elvis Presley's home and exhibits make a major American music-history stop.</x:v>
      </x:c>
      <x:c r="H588" s="16" t="str">
        <x:v>Historic Site</x:v>
      </x:c>
      <x:c r="I588" s="16" t="str">
        <x:v>https://www.google.com/search?q=Graceland%20Memphis%20Tennessee%20official%20website</x:v>
      </x:c>
      <x:c r="J588" s="16" t="str">
        <x:v>https://www.google.com/search?q=site%3Atnvacation.com%20Graceland</x:v>
      </x:c>
      <x:c r="K588" s="16" t="str">
        <x:v>https://www.google.com/search?q=Graceland%20Memphis%20Tennessee%20visitor%20information</x:v>
      </x:c>
      <x:c r="L588" s="16" t="str">
        <x:v>https://www.google.com/search?q=Graceland%20Memphis%20Tennessee%20photos</x:v>
      </x:c>
      <x:c r="M588" s="16" t="str">
        <x:v>https://www.google.com/search?q=Graceland%20Memphis%20Tennessee%20wikipedia%20OR%20wikivoyage</x:v>
      </x:c>
      <x:c r="N588" s="16" t="str">
        <x:v>https://www.google.com/maps/search/?api=1&amp;query=Graceland%2C%20Memphis%2C%20Tennessee</x:v>
      </x:c>
      <x:c r="O588" s="17" t="b">
        <x:v>1</x:v>
      </x:c>
      <x:c r="P588" s="16" t="b">
        <x:f>IFERROR(VLOOKUP(A588,States!$A$2:$B$49,2,FALSE),FALSE)</x:f>
        <x:v>1</x:v>
      </x:c>
      <x:c r="Q588" s="16" t="b">
        <x:f>AND(OR(O588=TRUE,O588="TRUE"),OR(P588=TRUE,P588="TRUE"))</x:f>
        <x:v>1</x:v>
      </x:c>
    </x:row>
    <x:row r="589">
      <x:c r="A589" s="16" t="str">
        <x:v>Tennessee</x:v>
      </x:c>
      <x:c r="B589" s="16" t="str">
        <x:v>Nashville</x:v>
      </x:c>
      <x:c r="C589" s="16" t="n">
        <x:v>-86.778</x:v>
      </x:c>
      <x:c r="D589" s="16" t="n">
        <x:v>36.162</x:v>
      </x:c>
      <x:c r="E589" s="16" t="str">
        <x:v>Country Music Hall of Fame and Museum</x:v>
      </x:c>
      <x:c r="F589" s="16" t="str">
        <x:v>Music fans, culture travelers</x:v>
      </x:c>
      <x:c r="G589" s="16" t="str">
        <x:v>Artifacts, recordings, and exhibits tell country music's broad story.</x:v>
      </x:c>
      <x:c r="H589" s="16" t="str">
        <x:v>Museum</x:v>
      </x:c>
      <x:c r="I589" s="16" t="str">
        <x:v>https://www.google.com/search?q=Country%20Music%20Hall%20of%20Fame%20and%20Museum%20Nashville%20Tennessee%20official%20website</x:v>
      </x:c>
      <x:c r="J589" s="16" t="str">
        <x:v>https://www.google.com/search?q=site%3Atnvacation.com%20Country%20Music%20Hall%20of%20Fame%20and%20Museum</x:v>
      </x:c>
      <x:c r="K589" s="16" t="str">
        <x:v>https://www.google.com/search?q=Country%20Music%20Hall%20of%20Fame%20and%20Museum%20Nashville%20Tennessee%20visitor%20information</x:v>
      </x:c>
      <x:c r="L589" s="16" t="str">
        <x:v>https://www.google.com/search?q=Country%20Music%20Hall%20of%20Fame%20and%20Museum%20Nashville%20Tennessee%20photos</x:v>
      </x:c>
      <x:c r="M589" s="16" t="str">
        <x:v>https://www.google.com/search?q=Country%20Music%20Hall%20of%20Fame%20and%20Museum%20Nashville%20Tennessee%20wikipedia%20OR%20wikivoyage</x:v>
      </x:c>
      <x:c r="N589" s="16" t="str">
        <x:v>https://www.google.com/maps/search/?api=1&amp;query=Country%20Music%20Hall%20of%20Fame%20and%20Museum%2C%20Nashville%2C%20Tennessee</x:v>
      </x:c>
      <x:c r="O589" s="17" t="b">
        <x:v>1</x:v>
      </x:c>
      <x:c r="P589" s="16" t="b">
        <x:f>IFERROR(VLOOKUP(A589,States!$A$2:$B$49,2,FALSE),FALSE)</x:f>
        <x:v>1</x:v>
      </x:c>
      <x:c r="Q589" s="16" t="b">
        <x:f>AND(OR(O589=TRUE,O589="TRUE"),OR(P589=TRUE,P589="TRUE"))</x:f>
        <x:v>1</x:v>
      </x:c>
    </x:row>
    <x:row r="590">
      <x:c r="A590" s="16" t="str">
        <x:v>Texas</x:v>
      </x:c>
      <x:c r="B590" s="16" t="str">
        <x:v>San Antonio</x:v>
      </x:c>
      <x:c r="C590" s="16" t="n">
        <x:v>-98.486</x:v>
      </x:c>
      <x:c r="D590" s="16" t="n">
        <x:v>29.426</x:v>
      </x:c>
      <x:c r="E590" s="16" t="str">
        <x:v>The Alamo and San Antonio Missions</x:v>
      </x:c>
      <x:c r="F590" s="16" t="str">
        <x:v>History travelers, families</x:v>
      </x:c>
      <x:c r="G590" s="16" t="str">
        <x:v>Spanish colonial missions and river-city history anchor San Antonio.</x:v>
      </x:c>
      <x:c r="H590" s="16" t="str">
        <x:v>Historic Site</x:v>
      </x:c>
      <x:c r="I590" s="16" t="str">
        <x:v>https://www.google.com/search?q=The%20Alamo%20and%20San%20Antonio%20Missions%20San%20Antonio%20Texas%20official%20website</x:v>
      </x:c>
      <x:c r="J590" s="16" t="str">
        <x:v>https://www.google.com/search?q=site%3Atraveltexas.com%20The%20Alamo%20and%20San%20Antonio%20Missions</x:v>
      </x:c>
      <x:c r="K590" s="16" t="str">
        <x:v>https://www.google.com/search?q=The%20Alamo%20and%20San%20Antonio%20Missions%20San%20Antonio%20Texas%20visitor%20information</x:v>
      </x:c>
      <x:c r="L590" s="16" t="str">
        <x:v>https://www.google.com/search?q=The%20Alamo%20and%20San%20Antonio%20Missions%20San%20Antonio%20Texas%20photos</x:v>
      </x:c>
      <x:c r="M590" s="16" t="str">
        <x:v>https://www.google.com/search?q=The%20Alamo%20and%20San%20Antonio%20Missions%20San%20Antonio%20Texas%20wikipedia%20OR%20wikivoyage</x:v>
      </x:c>
      <x:c r="N590" s="16" t="str">
        <x:v>https://www.google.com/maps/search/?api=1&amp;query=The%20Alamo%20and%20San%20Antonio%20Missions%2C%20San%20Antonio%2C%20Texas</x:v>
      </x:c>
      <x:c r="O590" s="17" t="b">
        <x:v>1</x:v>
      </x:c>
      <x:c r="P590" s="16" t="b">
        <x:f>IFERROR(VLOOKUP(A590,States!$A$2:$B$49,2,FALSE),FALSE)</x:f>
        <x:v>1</x:v>
      </x:c>
      <x:c r="Q590" s="16" t="b">
        <x:f>AND(OR(O590=TRUE,O590="TRUE"),OR(P590=TRUE,P590="TRUE"))</x:f>
        <x:v>1</x:v>
      </x:c>
    </x:row>
    <x:row r="591">
      <x:c r="A591" s="16" t="str">
        <x:v>Texas</x:v>
      </x:c>
      <x:c r="B591" s="16" t="str">
        <x:v>Big Bend</x:v>
      </x:c>
      <x:c r="C591" s="16" t="n">
        <x:v>-103.25</x:v>
      </x:c>
      <x:c r="D591" s="16" t="n">
        <x:v>29.25</x:v>
      </x:c>
      <x:c r="E591" s="16" t="str">
        <x:v>Big Bend National Park</x:v>
      </x:c>
      <x:c r="F591" s="16" t="str">
        <x:v>Hikers, stargazers, scenic drivers</x:v>
      </x:c>
      <x:c r="G591" s="16" t="str">
        <x:v>Desert, mountains, canyons, and Rio Grande views reward a remote trip.</x:v>
      </x:c>
      <x:c r="H591" s="16" t="str">
        <x:v>National Park</x:v>
      </x:c>
      <x:c r="I591" s="16" t="str">
        <x:v>https://www.google.com/search?q=Big%20Bend%20National%20Park%20Big%20Bend%20Texas%20official%20website</x:v>
      </x:c>
      <x:c r="J591" s="16" t="str">
        <x:v>https://www.google.com/search?q=site%3Atraveltexas.com%20Big%20Bend%20National%20Park</x:v>
      </x:c>
      <x:c r="K591" s="16" t="str">
        <x:v>https://www.google.com/search?q=Big%20Bend%20National%20Park%20Big%20Bend%20Texas%20visitor%20information</x:v>
      </x:c>
      <x:c r="L591" s="16" t="str">
        <x:v>https://www.google.com/search?q=Big%20Bend%20National%20Park%20Big%20Bend%20Texas%20photos</x:v>
      </x:c>
      <x:c r="M591" s="16" t="str">
        <x:v>https://www.google.com/search?q=site%3Anps.gov%20Big%20Bend%20National%20Park</x:v>
      </x:c>
      <x:c r="N591" s="16" t="str">
        <x:v>https://www.google.com/maps/search/?api=1&amp;query=Big%20Bend%20National%20Park%2C%20Big%20Bend%2C%20Texas</x:v>
      </x:c>
      <x:c r="O591" s="17" t="b">
        <x:v>1</x:v>
      </x:c>
      <x:c r="P591" s="16" t="b">
        <x:f>IFERROR(VLOOKUP(A591,States!$A$2:$B$49,2,FALSE),FALSE)</x:f>
        <x:v>1</x:v>
      </x:c>
      <x:c r="Q591" s="16" t="b">
        <x:f>AND(OR(O591=TRUE,O591="TRUE"),OR(P591=TRUE,P591="TRUE"))</x:f>
        <x:v>1</x:v>
      </x:c>
    </x:row>
    <x:row r="592">
      <x:c r="A592" s="16" t="str">
        <x:v>Texas</x:v>
      </x:c>
      <x:c r="B592" s="16" t="str">
        <x:v>Houston</x:v>
      </x:c>
      <x:c r="C592" s="16" t="n">
        <x:v>-95.089</x:v>
      </x:c>
      <x:c r="D592" s="16" t="n">
        <x:v>29.551</x:v>
      </x:c>
      <x:c r="E592" s="16" t="str">
        <x:v>Space Center Houston</x:v>
      </x:c>
      <x:c r="F592" s="16" t="str">
        <x:v>Families, science fans</x:v>
      </x:c>
      <x:c r="G592" s="16" t="str">
        <x:v>NASA history, spacecraft, and mission exhibits make a substantial science stop.</x:v>
      </x:c>
      <x:c r="H592" s="16" t="str">
        <x:v>Science</x:v>
      </x:c>
      <x:c r="I592" s="16" t="str">
        <x:v>https://www.google.com/search?q=Space%20Center%20Houston%20Houston%20Texas%20official%20website</x:v>
      </x:c>
      <x:c r="J592" s="16" t="str">
        <x:v>https://www.google.com/search?q=site%3Atraveltexas.com%20Space%20Center%20Houston</x:v>
      </x:c>
      <x:c r="K592" s="16" t="str">
        <x:v>https://www.google.com/search?q=Space%20Center%20Houston%20Houston%20Texas%20visitor%20information</x:v>
      </x:c>
      <x:c r="L592" s="16" t="str">
        <x:v>https://www.google.com/search?q=Space%20Center%20Houston%20Houston%20Texas%20photos</x:v>
      </x:c>
      <x:c r="M592" s="16" t="str">
        <x:v>https://www.google.com/search?q=Space%20Center%20Houston%20Houston%20Texas%20wikipedia%20OR%20wikivoyage</x:v>
      </x:c>
      <x:c r="N592" s="16" t="str">
        <x:v>https://www.google.com/maps/search/?api=1&amp;query=Space%20Center%20Houston%2C%20Houston%2C%20Texas</x:v>
      </x:c>
      <x:c r="O592" s="17" t="b">
        <x:v>1</x:v>
      </x:c>
      <x:c r="P592" s="16" t="b">
        <x:f>IFERROR(VLOOKUP(A592,States!$A$2:$B$49,2,FALSE),FALSE)</x:f>
        <x:v>1</x:v>
      </x:c>
      <x:c r="Q592" s="16" t="b">
        <x:f>AND(OR(O592=TRUE,O592="TRUE"),OR(P592=TRUE,P592="TRUE"))</x:f>
        <x:v>1</x:v>
      </x:c>
    </x:row>
    <x:row r="593">
      <x:c r="A593" s="16" t="str">
        <x:v>Utah</x:v>
      </x:c>
      <x:c r="B593" s="16" t="str">
        <x:v>Springdale</x:v>
      </x:c>
      <x:c r="C593" s="16" t="n">
        <x:v>-112.989</x:v>
      </x:c>
      <x:c r="D593" s="16" t="n">
        <x:v>37.298</x:v>
      </x:c>
      <x:c r="E593" s="16" t="str">
        <x:v>Zion National Park</x:v>
      </x:c>
      <x:c r="F593" s="16" t="str">
        <x:v>Hikers, photographers, families</x:v>
      </x:c>
      <x:c r="G593" s="16" t="str">
        <x:v>Sandstone cliffs, canyon trails, and shuttle-access viewpoints define southern Utah.</x:v>
      </x:c>
      <x:c r="H593" s="16" t="str">
        <x:v>National Park</x:v>
      </x:c>
      <x:c r="I593" s="16" t="str">
        <x:v>https://www.google.com/search?q=Zion%20National%20Park%20Springdale%20Utah%20official%20website</x:v>
      </x:c>
      <x:c r="J593" s="16" t="str">
        <x:v>https://www.google.com/search?q=site%3Avisitutah.com%20Zion%20National%20Park</x:v>
      </x:c>
      <x:c r="K593" s="16" t="str">
        <x:v>https://www.google.com/search?q=Zion%20National%20Park%20Springdale%20Utah%20visitor%20information</x:v>
      </x:c>
      <x:c r="L593" s="16" t="str">
        <x:v>https://www.google.com/search?q=Zion%20National%20Park%20Springdale%20Utah%20photos</x:v>
      </x:c>
      <x:c r="M593" s="16" t="str">
        <x:v>https://www.google.com/search?q=site%3Anps.gov%20Zion%20National%20Park</x:v>
      </x:c>
      <x:c r="N593" s="16" t="str">
        <x:v>https://www.google.com/maps/search/?api=1&amp;query=Zion%20National%20Park%2C%20Springdale%2C%20Utah</x:v>
      </x:c>
      <x:c r="O593" s="17" t="b">
        <x:v>1</x:v>
      </x:c>
      <x:c r="P593" s="16" t="b">
        <x:f>IFERROR(VLOOKUP(A593,States!$A$2:$B$49,2,FALSE),FALSE)</x:f>
        <x:v>1</x:v>
      </x:c>
      <x:c r="Q593" s="16" t="b">
        <x:f>AND(OR(O593=TRUE,O593="TRUE"),OR(P593=TRUE,P593="TRUE"))</x:f>
        <x:v>1</x:v>
      </x:c>
    </x:row>
    <x:row r="594">
      <x:c r="A594" s="16" t="str">
        <x:v>Utah</x:v>
      </x:c>
      <x:c r="B594" s="16" t="str">
        <x:v>Moab</x:v>
      </x:c>
      <x:c r="C594" s="16" t="n">
        <x:v>-109.593</x:v>
      </x:c>
      <x:c r="D594" s="16" t="n">
        <x:v>38.733</x:v>
      </x:c>
      <x:c r="E594" s="16" t="str">
        <x:v>Arches National Park</x:v>
      </x:c>
      <x:c r="F594" s="16" t="str">
        <x:v>Hikers, photographers, scenic drivers</x:v>
      </x:c>
      <x:c r="G594" s="16" t="str">
        <x:v>Natural arches and red-rock formations create a compact desert landmark.</x:v>
      </x:c>
      <x:c r="H594" s="16" t="str">
        <x:v>National Park</x:v>
      </x:c>
      <x:c r="I594" s="16" t="str">
        <x:v>https://www.google.com/search?q=Arches%20National%20Park%20Moab%20Utah%20official%20website</x:v>
      </x:c>
      <x:c r="J594" s="16" t="str">
        <x:v>https://www.google.com/search?q=site%3Avisitutah.com%20Arches%20National%20Park</x:v>
      </x:c>
      <x:c r="K594" s="16" t="str">
        <x:v>https://www.google.com/search?q=Arches%20National%20Park%20Moab%20Utah%20visitor%20information</x:v>
      </x:c>
      <x:c r="L594" s="16" t="str">
        <x:v>https://www.google.com/search?q=Arches%20National%20Park%20Moab%20Utah%20photos</x:v>
      </x:c>
      <x:c r="M594" s="16" t="str">
        <x:v>https://www.google.com/search?q=site%3Anps.gov%20Arches%20National%20Park</x:v>
      </x:c>
      <x:c r="N594" s="16" t="str">
        <x:v>https://www.google.com/maps/search/?api=1&amp;query=Arches%20National%20Park%2C%20Moab%2C%20Utah</x:v>
      </x:c>
      <x:c r="O594" s="17" t="b">
        <x:v>1</x:v>
      </x:c>
      <x:c r="P594" s="16" t="b">
        <x:f>IFERROR(VLOOKUP(A594,States!$A$2:$B$49,2,FALSE),FALSE)</x:f>
        <x:v>1</x:v>
      </x:c>
      <x:c r="Q594" s="16" t="b">
        <x:f>AND(OR(O594=TRUE,O594="TRUE"),OR(P594=TRUE,P594="TRUE"))</x:f>
        <x:v>1</x:v>
      </x:c>
    </x:row>
    <x:row r="595">
      <x:c r="A595" s="16" t="str">
        <x:v>Utah</x:v>
      </x:c>
      <x:c r="B595" s="16" t="str">
        <x:v>Bryce Canyon City</x:v>
      </x:c>
      <x:c r="C595" s="16" t="n">
        <x:v>-112.187</x:v>
      </x:c>
      <x:c r="D595" s="16" t="n">
        <x:v>37.628</x:v>
      </x:c>
      <x:c r="E595" s="16" t="str">
        <x:v>Bryce Canyon National Park</x:v>
      </x:c>
      <x:c r="F595" s="16" t="str">
        <x:v>Photographers, hikers, families</x:v>
      </x:c>
      <x:c r="G595" s="16" t="str">
        <x:v>Hoodoo amphitheaters and rim walks make a vivid high-plateau stop.</x:v>
      </x:c>
      <x:c r="H595" s="16" t="str">
        <x:v>National Park</x:v>
      </x:c>
      <x:c r="I595" s="16" t="str">
        <x:v>https://www.google.com/search?q=Bryce%20Canyon%20National%20Park%20Bryce%20Canyon%20City%20Utah%20official%20website</x:v>
      </x:c>
      <x:c r="J595" s="16" t="str">
        <x:v>https://www.google.com/search?q=site%3Avisitutah.com%20Bryce%20Canyon%20National%20Park</x:v>
      </x:c>
      <x:c r="K595" s="16" t="str">
        <x:v>https://www.google.com/search?q=Bryce%20Canyon%20National%20Park%20Bryce%20Canyon%20City%20Utah%20visitor%20information</x:v>
      </x:c>
      <x:c r="L595" s="16" t="str">
        <x:v>https://www.google.com/search?q=Bryce%20Canyon%20National%20Park%20Bryce%20Canyon%20City%20Utah%20photos</x:v>
      </x:c>
      <x:c r="M595" s="16" t="str">
        <x:v>https://www.google.com/search?q=site%3Anps.gov%20Bryce%20Canyon%20National%20Park</x:v>
      </x:c>
      <x:c r="N595" s="16" t="str">
        <x:v>https://www.google.com/maps/search/?api=1&amp;query=Bryce%20Canyon%20National%20Park%2C%20Bryce%20Canyon%20City%2C%20Utah</x:v>
      </x:c>
      <x:c r="O595" s="17" t="b">
        <x:v>1</x:v>
      </x:c>
      <x:c r="P595" s="16" t="b">
        <x:f>IFERROR(VLOOKUP(A595,States!$A$2:$B$49,2,FALSE),FALSE)</x:f>
        <x:v>1</x:v>
      </x:c>
      <x:c r="Q595" s="16" t="b">
        <x:f>AND(OR(O595=TRUE,O595="TRUE"),OR(P595=TRUE,P595="TRUE"))</x:f>
        <x:v>1</x:v>
      </x:c>
    </x:row>
    <x:row r="596">
      <x:c r="A596" s="16" t="str">
        <x:v>Vermont</x:v>
      </x:c>
      <x:c r="B596" s="16" t="str">
        <x:v>Stowe</x:v>
      </x:c>
      <x:c r="C596" s="16" t="n">
        <x:v>-72.702</x:v>
      </x:c>
      <x:c r="D596" s="16" t="n">
        <x:v>44.466</x:v>
      </x:c>
      <x:c r="E596" s="16" t="str">
        <x:v>Stowe Mountain Resort and Smugglers Notch</x:v>
      </x:c>
      <x:c r="F596" s="16" t="str">
        <x:v>Scenic drivers, skiers, hikers</x:v>
      </x:c>
      <x:c r="G596" s="16" t="str">
        <x:v>Mountain roads, village charm, and trails define a classic Vermont base.</x:v>
      </x:c>
      <x:c r="H596" s="16" t="str">
        <x:v>Resort</x:v>
      </x:c>
      <x:c r="I596" s="16" t="str">
        <x:v>https://www.google.com/search?q=Stowe%20Mountain%20Resort%20and%20Smugglers%20Notch%20Stowe%20Vermont%20official%20website</x:v>
      </x:c>
      <x:c r="J596" s="16" t="str">
        <x:v>https://www.google.com/search?q=site%3Avermontvacation.com%20Stowe%20Mountain%20Resort%20and%20Smugglers%20Notch</x:v>
      </x:c>
      <x:c r="K596" s="16" t="str">
        <x:v>https://www.google.com/search?q=Stowe%20Mountain%20Resort%20and%20Smugglers%20Notch%20Stowe%20Vermont%20visitor%20information</x:v>
      </x:c>
      <x:c r="L596" s="16" t="str">
        <x:v>https://www.google.com/search?q=Stowe%20Mountain%20Resort%20and%20Smugglers%20Notch%20Stowe%20Vermont%20photos</x:v>
      </x:c>
      <x:c r="M596" s="16" t="str">
        <x:v>https://www.google.com/search?q=Stowe%20Mountain%20Resort%20and%20Smugglers%20Notch%20Stowe%20Vermont%20wikipedia%20OR%20wikivoyage</x:v>
      </x:c>
      <x:c r="N596" s="16" t="str">
        <x:v>https://www.google.com/maps/search/?api=1&amp;query=Stowe%20Mountain%20Resort%20and%20Smugglers%20Notch%2C%20Stowe%2C%20Vermont</x:v>
      </x:c>
      <x:c r="O596" s="17" t="b">
        <x:v>1</x:v>
      </x:c>
      <x:c r="P596" s="16" t="b">
        <x:f>IFERROR(VLOOKUP(A596,States!$A$2:$B$49,2,FALSE),FALSE)</x:f>
        <x:v>1</x:v>
      </x:c>
      <x:c r="Q596" s="16" t="b">
        <x:f>AND(OR(O596=TRUE,O596="TRUE"),OR(P596=TRUE,P596="TRUE"))</x:f>
        <x:v>1</x:v>
      </x:c>
    </x:row>
    <x:row r="597">
      <x:c r="A597" s="16" t="str">
        <x:v>Vermont</x:v>
      </x:c>
      <x:c r="B597" s="16" t="str">
        <x:v>Woodstock</x:v>
      </x:c>
      <x:c r="C597" s="16" t="n">
        <x:v>-72.519</x:v>
      </x:c>
      <x:c r="D597" s="16" t="n">
        <x:v>43.632</x:v>
      </x:c>
      <x:c r="E597" s="16" t="str">
        <x:v>Marsh-Billings-Rockefeller National Historical Park</x:v>
      </x:c>
      <x:c r="F597" s="16" t="str">
        <x:v>History travelers, walkers</x:v>
      </x:c>
      <x:c r="G597" s="16" t="str">
        <x:v>Conservation history, trails, and village scenery combine in Woodstock.</x:v>
      </x:c>
      <x:c r="H597" s="16" t="str">
        <x:v>National Park</x:v>
      </x:c>
      <x:c r="I597" s="16" t="str">
        <x:v>https://www.google.com/search?q=Marsh-Billings-Rockefeller%20National%20Historical%20Park%20Woodstock%20Vermont%20official%20website</x:v>
      </x:c>
      <x:c r="J597" s="16" t="str">
        <x:v>https://www.google.com/search?q=site%3Avermontvacation.com%20Marsh-Billings-Rockefeller%20National%20Historical%20Park</x:v>
      </x:c>
      <x:c r="K597" s="16" t="str">
        <x:v>https://www.google.com/search?q=Marsh-Billings-Rockefeller%20National%20Historical%20Park%20Woodstock%20Vermont%20visitor%20information</x:v>
      </x:c>
      <x:c r="L597" s="16" t="str">
        <x:v>https://www.google.com/search?q=Marsh-Billings-Rockefeller%20National%20Historical%20Park%20Woodstock%20Vermont%20photos</x:v>
      </x:c>
      <x:c r="M597" s="16" t="str">
        <x:v>https://www.google.com/search?q=site%3Anps.gov%20Marsh-Billings-Rockefeller%20National%20Historical%20Park</x:v>
      </x:c>
      <x:c r="N597" s="16" t="str">
        <x:v>https://www.google.com/maps/search/?api=1&amp;query=Marsh-Billings-Rockefeller%20National%20Historical%20Park%2C%20Woodstock%2C%20Vermont</x:v>
      </x:c>
      <x:c r="O597" s="17" t="b">
        <x:v>1</x:v>
      </x:c>
      <x:c r="P597" s="16" t="b">
        <x:f>IFERROR(VLOOKUP(A597,States!$A$2:$B$49,2,FALSE),FALSE)</x:f>
        <x:v>1</x:v>
      </x:c>
      <x:c r="Q597" s="16" t="b">
        <x:f>AND(OR(O597=TRUE,O597="TRUE"),OR(P597=TRUE,P597="TRUE"))</x:f>
        <x:v>1</x:v>
      </x:c>
    </x:row>
    <x:row r="598">
      <x:c r="A598" s="16" t="str">
        <x:v>Vermont</x:v>
      </x:c>
      <x:c r="B598" s="16" t="str">
        <x:v>Shelburne</x:v>
      </x:c>
      <x:c r="C598" s="16" t="n">
        <x:v>-73.231</x:v>
      </x:c>
      <x:c r="D598" s="16" t="n">
        <x:v>44.374</x:v>
      </x:c>
      <x:c r="E598" s="16" t="str">
        <x:v>Shelburne Museum</x:v>
      </x:c>
      <x:c r="F598" s="16" t="str">
        <x:v>Families, art lovers, history travelers</x:v>
      </x:c>
      <x:c r="G598" s="16" t="str">
        <x:v>Buildings, folk art, design, and Americana form a wide-ranging museum campus.</x:v>
      </x:c>
      <x:c r="H598" s="16" t="str">
        <x:v>Museum</x:v>
      </x:c>
      <x:c r="I598" s="16" t="str">
        <x:v>https://www.google.com/search?q=Shelburne%20Museum%20Shelburne%20Vermont%20official%20website</x:v>
      </x:c>
      <x:c r="J598" s="16" t="str">
        <x:v>https://www.google.com/search?q=site%3Avermontvacation.com%20Shelburne%20Museum</x:v>
      </x:c>
      <x:c r="K598" s="16" t="str">
        <x:v>https://www.google.com/search?q=Shelburne%20Museum%20Shelburne%20Vermont%20visitor%20information</x:v>
      </x:c>
      <x:c r="L598" s="16" t="str">
        <x:v>https://www.google.com/search?q=Shelburne%20Museum%20Shelburne%20Vermont%20photos</x:v>
      </x:c>
      <x:c r="M598" s="16" t="str">
        <x:v>https://www.google.com/search?q=Shelburne%20Museum%20Shelburne%20Vermont%20wikipedia%20OR%20wikivoyage</x:v>
      </x:c>
      <x:c r="N598" s="16" t="str">
        <x:v>https://www.google.com/maps/search/?api=1&amp;query=Shelburne%20Museum%2C%20Shelburne%2C%20Vermont</x:v>
      </x:c>
      <x:c r="O598" s="17" t="b">
        <x:v>1</x:v>
      </x:c>
      <x:c r="P598" s="16" t="b">
        <x:f>IFERROR(VLOOKUP(A598,States!$A$2:$B$49,2,FALSE),FALSE)</x:f>
        <x:v>1</x:v>
      </x:c>
      <x:c r="Q598" s="16" t="b">
        <x:f>AND(OR(O598=TRUE,O598="TRUE"),OR(P598=TRUE,P598="TRUE"))</x:f>
        <x:v>1</x:v>
      </x:c>
    </x:row>
    <x:row r="599">
      <x:c r="A599" s="16" t="str">
        <x:v>Virginia</x:v>
      </x:c>
      <x:c r="B599" s="16" t="str">
        <x:v>Luray</x:v>
      </x:c>
      <x:c r="C599" s="16" t="n">
        <x:v>-78.453</x:v>
      </x:c>
      <x:c r="D599" s="16" t="n">
        <x:v>38.664</x:v>
      </x:c>
      <x:c r="E599" s="16" t="str">
        <x:v>Shenandoah National Park</x:v>
      </x:c>
      <x:c r="F599" s="16" t="str">
        <x:v>Hikers, scenic drivers, wildlife watchers</x:v>
      </x:c>
      <x:c r="G599" s="16" t="str">
        <x:v>Skyline Drive, waterfalls, and Blue Ridge overlooks make a classic route.</x:v>
      </x:c>
      <x:c r="H599" s="16" t="str">
        <x:v>National Park</x:v>
      </x:c>
      <x:c r="I599" s="16" t="str">
        <x:v>https://www.google.com/search?q=Shenandoah%20National%20Park%20Luray%20Virginia%20official%20website</x:v>
      </x:c>
      <x:c r="J599" s="16" t="str">
        <x:v>https://www.google.com/search?q=site%3Avirginia.org%20Shenandoah%20National%20Park</x:v>
      </x:c>
      <x:c r="K599" s="16" t="str">
        <x:v>https://www.google.com/search?q=Shenandoah%20National%20Park%20Luray%20Virginia%20visitor%20information</x:v>
      </x:c>
      <x:c r="L599" s="16" t="str">
        <x:v>https://www.google.com/search?q=Shenandoah%20National%20Park%20Luray%20Virginia%20photos</x:v>
      </x:c>
      <x:c r="M599" s="16" t="str">
        <x:v>https://www.google.com/search?q=site%3Anps.gov%20Shenandoah%20National%20Park</x:v>
      </x:c>
      <x:c r="N599" s="16" t="str">
        <x:v>https://www.google.com/maps/search/?api=1&amp;query=Shenandoah%20National%20Park%2C%20Luray%2C%20Virginia</x:v>
      </x:c>
      <x:c r="O599" s="17" t="b">
        <x:v>1</x:v>
      </x:c>
      <x:c r="P599" s="16" t="b">
        <x:f>IFERROR(VLOOKUP(A599,States!$A$2:$B$49,2,FALSE),FALSE)</x:f>
        <x:v>1</x:v>
      </x:c>
      <x:c r="Q599" s="16" t="b">
        <x:f>AND(OR(O599=TRUE,O599="TRUE"),OR(P599=TRUE,P599="TRUE"))</x:f>
        <x:v>1</x:v>
      </x:c>
    </x:row>
    <x:row r="600">
      <x:c r="A600" s="16" t="str">
        <x:v>Virginia</x:v>
      </x:c>
      <x:c r="B600" s="16" t="str">
        <x:v>Williamsburg</x:v>
      </x:c>
      <x:c r="C600" s="16" t="n">
        <x:v>-76.707</x:v>
      </x:c>
      <x:c r="D600" s="16" t="n">
        <x:v>37.27</x:v>
      </x:c>
      <x:c r="E600" s="16" t="str">
        <x:v>Colonial Williamsburg</x:v>
      </x:c>
      <x:c r="F600" s="16" t="str">
        <x:v>History travelers, families</x:v>
      </x:c>
      <x:c r="G600" s="16" t="str">
        <x:v>Restored streets and interpreters bring colonial-era Virginia into focus.</x:v>
      </x:c>
      <x:c r="H600" s="16" t="str">
        <x:v>Living History</x:v>
      </x:c>
      <x:c r="I600" s="16" t="str">
        <x:v>https://www.google.com/search?q=Colonial%20Williamsburg%20Williamsburg%20Virginia%20official%20website</x:v>
      </x:c>
      <x:c r="J600" s="16" t="str">
        <x:v>https://www.google.com/search?q=site%3Avirginia.org%20Colonial%20Williamsburg</x:v>
      </x:c>
      <x:c r="K600" s="16" t="str">
        <x:v>https://www.google.com/search?q=Colonial%20Williamsburg%20Williamsburg%20Virginia%20visitor%20information</x:v>
      </x:c>
      <x:c r="L600" s="16" t="str">
        <x:v>https://www.google.com/search?q=Colonial%20Williamsburg%20Williamsburg%20Virginia%20photos</x:v>
      </x:c>
      <x:c r="M600" s="16" t="str">
        <x:v>https://www.google.com/search?q=Colonial%20Williamsburg%20Williamsburg%20Virginia%20wikipedia%20OR%20wikivoyage</x:v>
      </x:c>
      <x:c r="N600" s="16" t="str">
        <x:v>https://www.google.com/maps/search/?api=1&amp;query=Colonial%20Williamsburg%2C%20Williamsburg%2C%20Virginia</x:v>
      </x:c>
      <x:c r="O600" s="17" t="b">
        <x:v>1</x:v>
      </x:c>
      <x:c r="P600" s="16" t="b">
        <x:f>IFERROR(VLOOKUP(A600,States!$A$2:$B$49,2,FALSE),FALSE)</x:f>
        <x:v>1</x:v>
      </x:c>
      <x:c r="Q600" s="16" t="b">
        <x:f>AND(OR(O600=TRUE,O600="TRUE"),OR(P600=TRUE,P600="TRUE"))</x:f>
        <x:v>1</x:v>
      </x:c>
    </x:row>
    <x:row r="601">
      <x:c r="A601" s="16" t="str">
        <x:v>Virginia</x:v>
      </x:c>
      <x:c r="B601" s="16" t="str">
        <x:v>Charlottesville</x:v>
      </x:c>
      <x:c r="C601" s="16" t="n">
        <x:v>-78.452</x:v>
      </x:c>
      <x:c r="D601" s="16" t="n">
        <x:v>38.01</x:v>
      </x:c>
      <x:c r="E601" s="16" t="str">
        <x:v>Monticello</x:v>
      </x:c>
      <x:c r="F601" s="16" t="str">
        <x:v>History travelers, architecture fans</x:v>
      </x:c>
      <x:c r="G601" s="16" t="str">
        <x:v>Jefferson's mountaintop home offers architecture, gardens, and layered history.</x:v>
      </x:c>
      <x:c r="H601" s="16" t="str">
        <x:v>Historic Site</x:v>
      </x:c>
      <x:c r="I601" s="16" t="str">
        <x:v>https://www.google.com/search?q=Monticello%20Charlottesville%20Virginia%20official%20website</x:v>
      </x:c>
      <x:c r="J601" s="16" t="str">
        <x:v>https://www.google.com/search?q=site%3Avirginia.org%20Monticello</x:v>
      </x:c>
      <x:c r="K601" s="16" t="str">
        <x:v>https://www.google.com/search?q=Monticello%20Charlottesville%20Virginia%20visitor%20information</x:v>
      </x:c>
      <x:c r="L601" s="16" t="str">
        <x:v>https://www.google.com/search?q=Monticello%20Charlottesville%20Virginia%20photos</x:v>
      </x:c>
      <x:c r="M601" s="16" t="str">
        <x:v>https://www.google.com/search?q=Monticello%20Charlottesville%20Virginia%20wikipedia%20OR%20wikivoyage</x:v>
      </x:c>
      <x:c r="N601" s="16" t="str">
        <x:v>https://www.google.com/maps/search/?api=1&amp;query=Monticello%2C%20Charlottesville%2C%20Virginia</x:v>
      </x:c>
      <x:c r="O601" s="17" t="b">
        <x:v>1</x:v>
      </x:c>
      <x:c r="P601" s="16" t="b">
        <x:f>IFERROR(VLOOKUP(A601,States!$A$2:$B$49,2,FALSE),FALSE)</x:f>
        <x:v>1</x:v>
      </x:c>
      <x:c r="Q601" s="16" t="b">
        <x:f>AND(OR(O601=TRUE,O601="TRUE"),OR(P601=TRUE,P601="TRUE"))</x:f>
        <x:v>1</x:v>
      </x:c>
    </x:row>
    <x:row r="602">
      <x:c r="A602" s="16" t="str">
        <x:v>West Virginia</x:v>
      </x:c>
      <x:c r="B602" s="16" t="str">
        <x:v>Glen Jean</x:v>
      </x:c>
      <x:c r="C602" s="16" t="n">
        <x:v>-81.081</x:v>
      </x:c>
      <x:c r="D602" s="16" t="n">
        <x:v>37.927</x:v>
      </x:c>
      <x:c r="E602" s="16" t="str">
        <x:v>New River Gorge National Park and Preserve</x:v>
      </x:c>
      <x:c r="F602" s="16" t="str">
        <x:v>Hikers, rafters, scenic drivers</x:v>
      </x:c>
      <x:c r="G602" s="16" t="str">
        <x:v>A deep gorge, bridge views, trails, and whitewater anchor southern West Virginia.</x:v>
      </x:c>
      <x:c r="H602" s="16" t="str">
        <x:v>National Park</x:v>
      </x:c>
      <x:c r="I602" s="16" t="str">
        <x:v>https://www.google.com/search?q=New%20River%20Gorge%20National%20Park%20and%20Preserve%20Glen%20Jean%20West%20Virginia%20official%20website</x:v>
      </x:c>
      <x:c r="J602" s="16" t="str">
        <x:v>https://www.google.com/search?q=site%3Awvtourism.com%20New%20River%20Gorge%20National%20Park%20and%20Preserve</x:v>
      </x:c>
      <x:c r="K602" s="16" t="str">
        <x:v>https://www.google.com/search?q=New%20River%20Gorge%20National%20Park%20and%20Preserve%20Glen%20Jean%20West%20Virginia%20visitor%20information</x:v>
      </x:c>
      <x:c r="L602" s="16" t="str">
        <x:v>https://www.google.com/search?q=New%20River%20Gorge%20National%20Park%20and%20Preserve%20Glen%20Jean%20West%20Virginia%20photos</x:v>
      </x:c>
      <x:c r="M602" s="16" t="str">
        <x:v>https://www.google.com/search?q=site%3Anps.gov%20New%20River%20Gorge%20National%20Park%20and%20Preserve</x:v>
      </x:c>
      <x:c r="N602" s="16" t="str">
        <x:v>https://www.google.com/maps/search/?api=1&amp;query=New%20River%20Gorge%20National%20Park%20and%20Preserve%2C%20Glen%20Jean%2C%20West%20Virginia</x:v>
      </x:c>
      <x:c r="O602" s="17" t="b">
        <x:v>1</x:v>
      </x:c>
      <x:c r="P602" s="16" t="b">
        <x:f>IFERROR(VLOOKUP(A602,States!$A$2:$B$49,2,FALSE),FALSE)</x:f>
        <x:v>1</x:v>
      </x:c>
      <x:c r="Q602" s="16" t="b">
        <x:f>AND(OR(O602=TRUE,O602="TRUE"),OR(P602=TRUE,P602="TRUE"))</x:f>
        <x:v>1</x:v>
      </x:c>
    </x:row>
    <x:row r="603">
      <x:c r="A603" s="16" t="str">
        <x:v>West Virginia</x:v>
      </x:c>
      <x:c r="B603" s="16" t="str">
        <x:v>Davis</x:v>
      </x:c>
      <x:c r="C603" s="16" t="n">
        <x:v>-79.469</x:v>
      </x:c>
      <x:c r="D603" s="16" t="n">
        <x:v>39.107</x:v>
      </x:c>
      <x:c r="E603" s="16" t="str">
        <x:v>Blackwater Falls State Park</x:v>
      </x:c>
      <x:c r="F603" s="16" t="str">
        <x:v>Waterfall fans, hikers, photographers</x:v>
      </x:c>
      <x:c r="G603" s="16" t="str">
        <x:v>Dark-water falls and canyon viewpoints make a mountain-state highlight.</x:v>
      </x:c>
      <x:c r="H603" s="16" t="str">
        <x:v>Nature</x:v>
      </x:c>
      <x:c r="I603" s="16" t="str">
        <x:v>https://www.google.com/search?q=Blackwater%20Falls%20State%20Park%20Davis%20West%20Virginia%20official%20website</x:v>
      </x:c>
      <x:c r="J603" s="16" t="str">
        <x:v>https://www.google.com/search?q=site%3Awvtourism.com%20Blackwater%20Falls%20State%20Park</x:v>
      </x:c>
      <x:c r="K603" s="16" t="str">
        <x:v>https://www.google.com/search?q=Blackwater%20Falls%20State%20Park%20Davis%20West%20Virginia%20visitor%20information</x:v>
      </x:c>
      <x:c r="L603" s="16" t="str">
        <x:v>https://www.google.com/search?q=Blackwater%20Falls%20State%20Park%20Davis%20West%20Virginia%20photos</x:v>
      </x:c>
      <x:c r="M603" s="16" t="str">
        <x:v>https://www.google.com/search?q=Blackwater%20Falls%20State%20Park%20Davis%20West%20Virginia%20wikipedia%20OR%20wikivoyage</x:v>
      </x:c>
      <x:c r="N603" s="16" t="str">
        <x:v>https://www.google.com/maps/search/?api=1&amp;query=Blackwater%20Falls%20State%20Park%2C%20Davis%2C%20West%20Virginia</x:v>
      </x:c>
      <x:c r="O603" s="17" t="b">
        <x:v>1</x:v>
      </x:c>
      <x:c r="P603" s="16" t="b">
        <x:f>IFERROR(VLOOKUP(A603,States!$A$2:$B$49,2,FALSE),FALSE)</x:f>
        <x:v>1</x:v>
      </x:c>
      <x:c r="Q603" s="16" t="b">
        <x:f>AND(OR(O603=TRUE,O603="TRUE"),OR(P603=TRUE,P603="TRUE"))</x:f>
        <x:v>1</x:v>
      </x:c>
    </x:row>
    <x:row r="604">
      <x:c r="A604" s="16" t="str">
        <x:v>West Virginia</x:v>
      </x:c>
      <x:c r="B604" s="16" t="str">
        <x:v>Harpers Ferry</x:v>
      </x:c>
      <x:c r="C604" s="16" t="n">
        <x:v>-77.731</x:v>
      </x:c>
      <x:c r="D604" s="16" t="n">
        <x:v>39.326</x:v>
      </x:c>
      <x:c r="E604" s="16" t="str">
        <x:v>Harpers Ferry National Historical Park</x:v>
      </x:c>
      <x:c r="F604" s="16" t="str">
        <x:v>History travelers, hikers</x:v>
      </x:c>
      <x:c r="G604" s="16" t="str">
        <x:v>Historic streets sit at a dramatic river confluence and Appalachian Trail crossing.</x:v>
      </x:c>
      <x:c r="H604" s="16" t="str">
        <x:v>National Park</x:v>
      </x:c>
      <x:c r="I604" s="16" t="str">
        <x:v>https://www.google.com/search?q=Harpers%20Ferry%20National%20Historical%20Park%20Harpers%20Ferry%20West%20Virginia%20official%20website</x:v>
      </x:c>
      <x:c r="J604" s="16" t="str">
        <x:v>https://www.google.com/search?q=site%3Awvtourism.com%20Harpers%20Ferry%20National%20Historical%20Park</x:v>
      </x:c>
      <x:c r="K604" s="16" t="str">
        <x:v>https://www.google.com/search?q=Harpers%20Ferry%20National%20Historical%20Park%20Harpers%20Ferry%20West%20Virginia%20visitor%20information</x:v>
      </x:c>
      <x:c r="L604" s="16" t="str">
        <x:v>https://www.google.com/search?q=Harpers%20Ferry%20National%20Historical%20Park%20Harpers%20Ferry%20West%20Virginia%20photos</x:v>
      </x:c>
      <x:c r="M604" s="16" t="str">
        <x:v>https://www.google.com/search?q=site%3Anps.gov%20Harpers%20Ferry%20National%20Historical%20Park</x:v>
      </x:c>
      <x:c r="N604" s="16" t="str">
        <x:v>https://www.google.com/maps/search/?api=1&amp;query=Harpers%20Ferry%20National%20Historical%20Park%2C%20Harpers%20Ferry%2C%20West%20Virginia</x:v>
      </x:c>
      <x:c r="O604" s="17" t="b">
        <x:v>1</x:v>
      </x:c>
      <x:c r="P604" s="16" t="b">
        <x:f>IFERROR(VLOOKUP(A604,States!$A$2:$B$49,2,FALSE),FALSE)</x:f>
        <x:v>1</x:v>
      </x:c>
      <x:c r="Q604" s="16" t="b">
        <x:f>AND(OR(O604=TRUE,O604="TRUE"),OR(P604=TRUE,P604="TRUE"))</x:f>
        <x:v>1</x:v>
      </x:c>
    </x:row>
  </x:sheetData>
  <x:dataValidations count="1">
    <x:dataValidation type="list" sqref="O2:O6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48488ab5ec4e6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Alabama</x:v>
      </x:c>
      <x:c r="B2" s="14" t="b">
        <x:v>1</x:v>
      </x:c>
      <x:c r="C2" s="13" t="str">
        <x:v>Mainland USA</x:v>
      </x:c>
      <x:c r="D2" s="13" t="str">
        <x:v>Included as one of the 48 contiguous U.S. states.</x:v>
      </x:c>
    </x:row>
    <x:row r="3">
      <x:c r="A3" s="13" t="str">
        <x:v>Arizona</x:v>
      </x:c>
      <x:c r="B3" s="14" t="b">
        <x:v>1</x:v>
      </x:c>
      <x:c r="C3" s="13" t="str">
        <x:v>Mainland USA</x:v>
      </x:c>
      <x:c r="D3" s="13" t="str">
        <x:v>Included as one of the 48 contiguous U.S. states.</x:v>
      </x:c>
    </x:row>
    <x:row r="4">
      <x:c r="A4" s="13" t="str">
        <x:v>Arkansas</x:v>
      </x:c>
      <x:c r="B4" s="14" t="b">
        <x:v>1</x:v>
      </x:c>
      <x:c r="C4" s="13" t="str">
        <x:v>Mainland USA</x:v>
      </x:c>
      <x:c r="D4" s="13" t="str">
        <x:v>Included as one of the 48 contiguous U.S. states.</x:v>
      </x:c>
    </x:row>
    <x:row r="5">
      <x:c r="A5" s="13" t="str">
        <x:v>California</x:v>
      </x:c>
      <x:c r="B5" s="14" t="b">
        <x:v>1</x:v>
      </x:c>
      <x:c r="C5" s="13" t="str">
        <x:v>Mainland USA</x:v>
      </x:c>
      <x:c r="D5" s="13" t="str">
        <x:v>Included as one of the 48 contiguous U.S. states.</x:v>
      </x:c>
    </x:row>
    <x:row r="6">
      <x:c r="A6" s="13" t="str">
        <x:v>Colorado</x:v>
      </x:c>
      <x:c r="B6" s="14" t="b">
        <x:v>1</x:v>
      </x:c>
      <x:c r="C6" s="13" t="str">
        <x:v>Mainland USA</x:v>
      </x:c>
      <x:c r="D6" s="13" t="str">
        <x:v>Included as one of the 48 contiguous U.S. states.</x:v>
      </x:c>
    </x:row>
    <x:row r="7">
      <x:c r="A7" s="13" t="str">
        <x:v>Connecticut</x:v>
      </x:c>
      <x:c r="B7" s="14" t="b">
        <x:v>1</x:v>
      </x:c>
      <x:c r="C7" s="13" t="str">
        <x:v>Mainland USA</x:v>
      </x:c>
      <x:c r="D7" s="13" t="str">
        <x:v>Included as one of the 48 contiguous U.S. states.</x:v>
      </x:c>
    </x:row>
    <x:row r="8">
      <x:c r="A8" s="13" t="str">
        <x:v>Delaware</x:v>
      </x:c>
      <x:c r="B8" s="14" t="b">
        <x:v>1</x:v>
      </x:c>
      <x:c r="C8" s="13" t="str">
        <x:v>Mainland USA</x:v>
      </x:c>
      <x:c r="D8" s="13" t="str">
        <x:v>Included as one of the 48 contiguous U.S. states.</x:v>
      </x:c>
    </x:row>
    <x:row r="9">
      <x:c r="A9" s="13" t="str">
        <x:v>Florida</x:v>
      </x:c>
      <x:c r="B9" s="14" t="b">
        <x:v>1</x:v>
      </x:c>
      <x:c r="C9" s="13" t="str">
        <x:v>Mainland USA</x:v>
      </x:c>
      <x:c r="D9" s="13" t="str">
        <x:v>Included as one of the 48 contiguous U.S. states.</x:v>
      </x:c>
    </x:row>
    <x:row r="10">
      <x:c r="A10" s="13" t="str">
        <x:v>Georgia</x:v>
      </x:c>
      <x:c r="B10" s="14" t="b">
        <x:v>1</x:v>
      </x:c>
      <x:c r="C10" s="13" t="str">
        <x:v>Mainland USA</x:v>
      </x:c>
      <x:c r="D10" s="13" t="str">
        <x:v>Included as one of the 48 contiguous U.S. states.</x:v>
      </x:c>
    </x:row>
    <x:row r="11">
      <x:c r="A11" s="13" t="str">
        <x:v>Idaho</x:v>
      </x:c>
      <x:c r="B11" s="14" t="b">
        <x:v>1</x:v>
      </x:c>
      <x:c r="C11" s="13" t="str">
        <x:v>Mainland USA</x:v>
      </x:c>
      <x:c r="D11" s="13" t="str">
        <x:v>Included as one of the 48 contiguous U.S. states.</x:v>
      </x:c>
    </x:row>
    <x:row r="12">
      <x:c r="A12" s="13" t="str">
        <x:v>Illinois</x:v>
      </x:c>
      <x:c r="B12" s="14" t="b">
        <x:v>1</x:v>
      </x:c>
      <x:c r="C12" s="13" t="str">
        <x:v>Mainland USA</x:v>
      </x:c>
      <x:c r="D12" s="13" t="str">
        <x:v>Included as one of the 48 contiguous U.S. states.</x:v>
      </x:c>
    </x:row>
    <x:row r="13">
      <x:c r="A13" s="13" t="str">
        <x:v>Indiana</x:v>
      </x:c>
      <x:c r="B13" s="14" t="b">
        <x:v>1</x:v>
      </x:c>
      <x:c r="C13" s="13" t="str">
        <x:v>Mainland USA</x:v>
      </x:c>
      <x:c r="D13" s="13" t="str">
        <x:v>Included as one of the 48 contiguous U.S. states.</x:v>
      </x:c>
    </x:row>
    <x:row r="14">
      <x:c r="A14" s="13" t="str">
        <x:v>Iowa</x:v>
      </x:c>
      <x:c r="B14" s="14" t="b">
        <x:v>1</x:v>
      </x:c>
      <x:c r="C14" s="13" t="str">
        <x:v>Mainland USA</x:v>
      </x:c>
      <x:c r="D14" s="13" t="str">
        <x:v>Included as one of the 48 contiguous U.S. states.</x:v>
      </x:c>
    </x:row>
    <x:row r="15">
      <x:c r="A15" s="13" t="str">
        <x:v>Kansas</x:v>
      </x:c>
      <x:c r="B15" s="14" t="b">
        <x:v>1</x:v>
      </x:c>
      <x:c r="C15" s="13" t="str">
        <x:v>Mainland USA</x:v>
      </x:c>
      <x:c r="D15" s="13" t="str">
        <x:v>Included as one of the 48 contiguous U.S. states.</x:v>
      </x:c>
    </x:row>
    <x:row r="16">
      <x:c r="A16" s="13" t="str">
        <x:v>Kentucky</x:v>
      </x:c>
      <x:c r="B16" s="14" t="b">
        <x:v>1</x:v>
      </x:c>
      <x:c r="C16" s="13" t="str">
        <x:v>Mainland USA</x:v>
      </x:c>
      <x:c r="D16" s="13" t="str">
        <x:v>Included as one of the 48 contiguous U.S. states.</x:v>
      </x:c>
    </x:row>
    <x:row r="17">
      <x:c r="A17" s="13" t="str">
        <x:v>Louisiana</x:v>
      </x:c>
      <x:c r="B17" s="14" t="b">
        <x:v>1</x:v>
      </x:c>
      <x:c r="C17" s="13" t="str">
        <x:v>Mainland USA</x:v>
      </x:c>
      <x:c r="D17" s="13" t="str">
        <x:v>Included as one of the 48 contiguous U.S. states.</x:v>
      </x:c>
    </x:row>
    <x:row r="18">
      <x:c r="A18" s="13" t="str">
        <x:v>Maine</x:v>
      </x:c>
      <x:c r="B18" s="14" t="b">
        <x:v>1</x:v>
      </x:c>
      <x:c r="C18" s="13" t="str">
        <x:v>Mainland USA</x:v>
      </x:c>
      <x:c r="D18" s="13" t="str">
        <x:v>Included as one of the 48 contiguous U.S. states.</x:v>
      </x:c>
    </x:row>
    <x:row r="19">
      <x:c r="A19" s="13" t="str">
        <x:v>Maryland</x:v>
      </x:c>
      <x:c r="B19" s="14" t="b">
        <x:v>1</x:v>
      </x:c>
      <x:c r="C19" s="13" t="str">
        <x:v>Mainland USA</x:v>
      </x:c>
      <x:c r="D19" s="13" t="str">
        <x:v>Included as one of the 48 contiguous U.S. states.</x:v>
      </x:c>
    </x:row>
    <x:row r="20">
      <x:c r="A20" s="13" t="str">
        <x:v>Massachusetts</x:v>
      </x:c>
      <x:c r="B20" s="14" t="b">
        <x:v>1</x:v>
      </x:c>
      <x:c r="C20" s="13" t="str">
        <x:v>Mainland USA</x:v>
      </x:c>
      <x:c r="D20" s="13" t="str">
        <x:v>Included as one of the 48 contiguous U.S. states.</x:v>
      </x:c>
    </x:row>
    <x:row r="21">
      <x:c r="A21" s="13" t="str">
        <x:v>Michigan</x:v>
      </x:c>
      <x:c r="B21" s="14" t="b">
        <x:v>1</x:v>
      </x:c>
      <x:c r="C21" s="13" t="str">
        <x:v>Mainland USA</x:v>
      </x:c>
      <x:c r="D21" s="13" t="str">
        <x:v>Included as one of the 48 contiguous U.S. states.</x:v>
      </x:c>
    </x:row>
    <x:row r="22">
      <x:c r="A22" s="13" t="str">
        <x:v>Minnesota</x:v>
      </x:c>
      <x:c r="B22" s="14" t="b">
        <x:v>1</x:v>
      </x:c>
      <x:c r="C22" s="13" t="str">
        <x:v>Mainland USA</x:v>
      </x:c>
      <x:c r="D22" s="13" t="str">
        <x:v>Included as one of the 48 contiguous U.S. states.</x:v>
      </x:c>
    </x:row>
    <x:row r="23">
      <x:c r="A23" s="13" t="str">
        <x:v>Mississippi</x:v>
      </x:c>
      <x:c r="B23" s="14" t="b">
        <x:v>1</x:v>
      </x:c>
      <x:c r="C23" s="13" t="str">
        <x:v>Mainland USA</x:v>
      </x:c>
      <x:c r="D23" s="13" t="str">
        <x:v>Included as one of the 48 contiguous U.S. states.</x:v>
      </x:c>
    </x:row>
    <x:row r="24">
      <x:c r="A24" s="13" t="str">
        <x:v>Missouri</x:v>
      </x:c>
      <x:c r="B24" s="14" t="b">
        <x:v>1</x:v>
      </x:c>
      <x:c r="C24" s="13" t="str">
        <x:v>Mainland USA</x:v>
      </x:c>
      <x:c r="D24" s="13" t="str">
        <x:v>Included as one of the 48 contiguous U.S. states.</x:v>
      </x:c>
    </x:row>
    <x:row r="25">
      <x:c r="A25" s="13" t="str">
        <x:v>Montana</x:v>
      </x:c>
      <x:c r="B25" s="14" t="b">
        <x:v>1</x:v>
      </x:c>
      <x:c r="C25" s="13" t="str">
        <x:v>Mainland USA</x:v>
      </x:c>
      <x:c r="D25" s="13" t="str">
        <x:v>Included as one of the 48 contiguous U.S. states.</x:v>
      </x:c>
    </x:row>
    <x:row r="26">
      <x:c r="A26" s="13" t="str">
        <x:v>Nebraska</x:v>
      </x:c>
      <x:c r="B26" s="14" t="b">
        <x:v>1</x:v>
      </x:c>
      <x:c r="C26" s="13" t="str">
        <x:v>Mainland USA</x:v>
      </x:c>
      <x:c r="D26" s="13" t="str">
        <x:v>Included as one of the 48 contiguous U.S. states.</x:v>
      </x:c>
    </x:row>
    <x:row r="27">
      <x:c r="A27" s="13" t="str">
        <x:v>Nevada</x:v>
      </x:c>
      <x:c r="B27" s="14" t="b">
        <x:v>1</x:v>
      </x:c>
      <x:c r="C27" s="13" t="str">
        <x:v>Mainland USA</x:v>
      </x:c>
      <x:c r="D27" s="13" t="str">
        <x:v>Included as one of the 48 contiguous U.S. states.</x:v>
      </x:c>
    </x:row>
    <x:row r="28">
      <x:c r="A28" s="13" t="str">
        <x:v>New Hampshire</x:v>
      </x:c>
      <x:c r="B28" s="14" t="b">
        <x:v>1</x:v>
      </x:c>
      <x:c r="C28" s="13" t="str">
        <x:v>Mainland USA</x:v>
      </x:c>
      <x:c r="D28" s="13" t="str">
        <x:v>Included as one of the 48 contiguous U.S. states.</x:v>
      </x:c>
    </x:row>
    <x:row r="29">
      <x:c r="A29" s="13" t="str">
        <x:v>New Jersey</x:v>
      </x:c>
      <x:c r="B29" s="14" t="b">
        <x:v>1</x:v>
      </x:c>
      <x:c r="C29" s="13" t="str">
        <x:v>Mainland USA</x:v>
      </x:c>
      <x:c r="D29" s="13" t="str">
        <x:v>Included as one of the 48 contiguous U.S. states.</x:v>
      </x:c>
    </x:row>
    <x:row r="30">
      <x:c r="A30" s="13" t="str">
        <x:v>New Mexico</x:v>
      </x:c>
      <x:c r="B30" s="14" t="b">
        <x:v>1</x:v>
      </x:c>
      <x:c r="C30" s="13" t="str">
        <x:v>Mainland USA</x:v>
      </x:c>
      <x:c r="D30" s="13" t="str">
        <x:v>Included as one of the 48 contiguous U.S. states.</x:v>
      </x:c>
    </x:row>
    <x:row r="31">
      <x:c r="A31" s="13" t="str">
        <x:v>New York</x:v>
      </x:c>
      <x:c r="B31" s="14" t="b">
        <x:v>1</x:v>
      </x:c>
      <x:c r="C31" s="13" t="str">
        <x:v>Mainland USA / starting state</x:v>
      </x:c>
      <x:c r="D31" s="13" t="str">
        <x:v>Included because Rochester is the starting point and New York is one of the 48 contiguous U.S. states.</x:v>
      </x:c>
    </x:row>
    <x:row r="32">
      <x:c r="A32" s="13" t="str">
        <x:v>North Carolina</x:v>
      </x:c>
      <x:c r="B32" s="14" t="b">
        <x:v>1</x:v>
      </x:c>
      <x:c r="C32" s="13" t="str">
        <x:v>Mainland USA</x:v>
      </x:c>
      <x:c r="D32" s="13" t="str">
        <x:v>Included as one of the 48 contiguous U.S. states.</x:v>
      </x:c>
    </x:row>
    <x:row r="33">
      <x:c r="A33" s="13" t="str">
        <x:v>North Dakota</x:v>
      </x:c>
      <x:c r="B33" s="14" t="b">
        <x:v>1</x:v>
      </x:c>
      <x:c r="C33" s="13" t="str">
        <x:v>Mainland USA</x:v>
      </x:c>
      <x:c r="D33" s="13" t="str">
        <x:v>Included as one of the 48 contiguous U.S. states.</x:v>
      </x:c>
    </x:row>
    <x:row r="34">
      <x:c r="A34" s="13" t="str">
        <x:v>Ohio</x:v>
      </x:c>
      <x:c r="B34" s="14" t="b">
        <x:v>1</x:v>
      </x:c>
      <x:c r="C34" s="13" t="str">
        <x:v>Mainland USA</x:v>
      </x:c>
      <x:c r="D34" s="13" t="str">
        <x:v>Included as one of the 48 contiguous U.S. states.</x:v>
      </x:c>
    </x:row>
    <x:row r="35">
      <x:c r="A35" s="13" t="str">
        <x:v>Oklahoma</x:v>
      </x:c>
      <x:c r="B35" s="14" t="b">
        <x:v>1</x:v>
      </x:c>
      <x:c r="C35" s="13" t="str">
        <x:v>Mainland USA</x:v>
      </x:c>
      <x:c r="D35" s="13" t="str">
        <x:v>Included as one of the 48 contiguous U.S. states.</x:v>
      </x:c>
    </x:row>
    <x:row r="36">
      <x:c r="A36" s="13" t="str">
        <x:v>Oregon</x:v>
      </x:c>
      <x:c r="B36" s="14" t="b">
        <x:v>1</x:v>
      </x:c>
      <x:c r="C36" s="13" t="str">
        <x:v>Mainland USA</x:v>
      </x:c>
      <x:c r="D36" s="13" t="str">
        <x:v>Included as one of the 48 contiguous U.S. states.</x:v>
      </x:c>
    </x:row>
    <x:row r="37">
      <x:c r="A37" s="13" t="str">
        <x:v>Pennsylvania</x:v>
      </x:c>
      <x:c r="B37" s="14" t="b">
        <x:v>1</x:v>
      </x:c>
      <x:c r="C37" s="13" t="str">
        <x:v>Mainland USA</x:v>
      </x:c>
      <x:c r="D37" s="13" t="str">
        <x:v>Included as one of the 48 contiguous U.S. states.</x:v>
      </x:c>
    </x:row>
    <x:row r="38">
      <x:c r="A38" s="13" t="str">
        <x:v>Rhode Island</x:v>
      </x:c>
      <x:c r="B38" s="14" t="b">
        <x:v>1</x:v>
      </x:c>
      <x:c r="C38" s="13" t="str">
        <x:v>Mainland USA</x:v>
      </x:c>
      <x:c r="D38" s="13" t="str">
        <x:v>Included as one of the 48 contiguous U.S. states.</x:v>
      </x:c>
    </x:row>
    <x:row r="39">
      <x:c r="A39" s="13" t="str">
        <x:v>South Carolina</x:v>
      </x:c>
      <x:c r="B39" s="14" t="b">
        <x:v>1</x:v>
      </x:c>
      <x:c r="C39" s="13" t="str">
        <x:v>Mainland USA</x:v>
      </x:c>
      <x:c r="D39" s="13" t="str">
        <x:v>Included as one of the 48 contiguous U.S. states.</x:v>
      </x:c>
    </x:row>
    <x:row r="40">
      <x:c r="A40" s="13" t="str">
        <x:v>South Dakota</x:v>
      </x:c>
      <x:c r="B40" s="14" t="b">
        <x:v>1</x:v>
      </x:c>
      <x:c r="C40" s="13" t="str">
        <x:v>Mainland USA</x:v>
      </x:c>
      <x:c r="D40" s="13" t="str">
        <x:v>Included as one of the 48 contiguous U.S. states.</x:v>
      </x:c>
    </x:row>
    <x:row r="41">
      <x:c r="A41" s="13" t="str">
        <x:v>Tennessee</x:v>
      </x:c>
      <x:c r="B41" s="14" t="b">
        <x:v>1</x:v>
      </x:c>
      <x:c r="C41" s="13" t="str">
        <x:v>Mainland USA</x:v>
      </x:c>
      <x:c r="D41" s="13" t="str">
        <x:v>Included as one of the 48 contiguous U.S. states.</x:v>
      </x:c>
    </x:row>
    <x:row r="42">
      <x:c r="A42" s="13" t="str">
        <x:v>Texas</x:v>
      </x:c>
      <x:c r="B42" s="14" t="b">
        <x:v>1</x:v>
      </x:c>
      <x:c r="C42" s="13" t="str">
        <x:v>Mainland USA</x:v>
      </x:c>
      <x:c r="D42" s="13" t="str">
        <x:v>Included as one of the 48 contiguous U.S. states.</x:v>
      </x:c>
    </x:row>
    <x:row r="43">
      <x:c r="A43" s="13" t="str">
        <x:v>Utah</x:v>
      </x:c>
      <x:c r="B43" s="14" t="b">
        <x:v>1</x:v>
      </x:c>
      <x:c r="C43" s="13" t="str">
        <x:v>Mainland USA</x:v>
      </x:c>
      <x:c r="D43" s="13" t="str">
        <x:v>Included as one of the 48 contiguous U.S. states.</x:v>
      </x:c>
    </x:row>
    <x:row r="44">
      <x:c r="A44" s="13" t="str">
        <x:v>Vermont</x:v>
      </x:c>
      <x:c r="B44" s="14" t="b">
        <x:v>1</x:v>
      </x:c>
      <x:c r="C44" s="13" t="str">
        <x:v>Mainland USA</x:v>
      </x:c>
      <x:c r="D44" s="13" t="str">
        <x:v>Included as one of the 48 contiguous U.S. states.</x:v>
      </x:c>
    </x:row>
    <x:row r="45">
      <x:c r="A45" s="13" t="str">
        <x:v>Virginia</x:v>
      </x:c>
      <x:c r="B45" s="14" t="b">
        <x:v>1</x:v>
      </x:c>
      <x:c r="C45" s="13" t="str">
        <x:v>Mainland USA</x:v>
      </x:c>
      <x:c r="D45" s="13" t="str">
        <x:v>Included as one of the 48 contiguous U.S. states.</x:v>
      </x:c>
    </x:row>
    <x:row r="46">
      <x:c r="A46" s="13" t="str">
        <x:v>Washington</x:v>
      </x:c>
      <x:c r="B46" s="14" t="b">
        <x:v>1</x:v>
      </x:c>
      <x:c r="C46" s="13" t="str">
        <x:v>Mainland USA</x:v>
      </x:c>
      <x:c r="D46" s="13" t="str">
        <x:v>Included as one of the 48 contiguous U.S. states.</x:v>
      </x:c>
    </x:row>
    <x:row r="47">
      <x:c r="A47" s="13" t="str">
        <x:v>West Virginia</x:v>
      </x:c>
      <x:c r="B47" s="14" t="b">
        <x:v>1</x:v>
      </x:c>
      <x:c r="C47" s="13" t="str">
        <x:v>Mainland USA</x:v>
      </x:c>
      <x:c r="D47" s="13" t="str">
        <x:v>Included as one of the 48 contiguous U.S. states.</x:v>
      </x:c>
    </x:row>
    <x:row r="48">
      <x:c r="A48" s="13" t="str">
        <x:v>Wisconsin</x:v>
      </x:c>
      <x:c r="B48" s="14" t="b">
        <x:v>1</x:v>
      </x:c>
      <x:c r="C48" s="13" t="str">
        <x:v>Mainland USA</x:v>
      </x:c>
      <x:c r="D48" s="13" t="str">
        <x:v>Included as one of the 48 contiguous U.S. states.</x:v>
      </x:c>
    </x:row>
    <x:row r="49">
      <x:c r="A49" s="13" t="str">
        <x:v>Wyoming</x:v>
      </x:c>
      <x:c r="B49" s="14" t="b">
        <x:v>1</x:v>
      </x:c>
      <x:c r="C49" s="13" t="str">
        <x:v>Mainland USA</x:v>
      </x:c>
      <x:c r="D49" s="13" t="str">
        <x:v>Included as one of the 48 contiguous U.S. states.</x:v>
      </x:c>
    </x:row>
  </x:sheetData>
  <x:dataValidations count="1">
    <x:dataValidation type="list" sqref="B2:B49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e9c8996bdc41f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IFERROR(VLOOKUP(A2,States!$A$2:$B$49,2,FALSE),FALSE)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IFERROR(VLOOKUP(A3,States!$A$2:$B$49,2,FALSE),FALSE)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IFERROR(VLOOKUP(A4,States!$A$2:$B$49,2,FALSE),FALSE)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IFERROR(VLOOKUP(A5,States!$A$2:$B$49,2,FALSE),FALSE)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IFERROR(VLOOKUP(A6,States!$A$2:$B$49,2,FALSE),FALSE)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IFERROR(VLOOKUP(A7,States!$A$2:$B$49,2,FALSE),FALSE)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IFERROR(VLOOKUP(A8,States!$A$2:$B$49,2,FALSE),FALSE)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IFERROR(VLOOKUP(A9,States!$A$2:$B$49,2,FALSE),FALSE)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IFERROR(VLOOKUP(A10,States!$A$2:$B$49,2,FALSE),FALSE)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IFERROR(VLOOKUP(A11,States!$A$2:$B$49,2,FALSE),FALSE)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IFERROR(VLOOKUP(A12,States!$A$2:$B$49,2,FALSE),FALSE)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IFERROR(VLOOKUP(A13,States!$A$2:$B$49,2,FALSE),FALSE)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IFERROR(VLOOKUP(A14,States!$A$2:$B$49,2,FALSE),FALSE)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IFERROR(VLOOKUP(A15,States!$A$2:$B$49,2,FALSE),FALSE)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IFERROR(VLOOKUP(A16,States!$A$2:$B$49,2,FALSE),FALSE)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IFERROR(VLOOKUP(A17,States!$A$2:$B$49,2,FALSE),FALSE)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IFERROR(VLOOKUP(A18,States!$A$2:$B$49,2,FALSE),FALSE)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IFERROR(VLOOKUP(A19,States!$A$2:$B$49,2,FALSE),FALSE)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IFERROR(VLOOKUP(A20,States!$A$2:$B$49,2,FALSE),FALSE)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IFERROR(VLOOKUP(A21,States!$A$2:$B$49,2,FALSE),FALSE)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IFERROR(VLOOKUP(A22,States!$A$2:$B$49,2,FALSE),FALSE)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IFERROR(VLOOKUP(A23,States!$A$2:$B$49,2,FALSE),FALSE)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IFERROR(VLOOKUP(A24,States!$A$2:$B$49,2,FALSE),FALSE)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IFERROR(VLOOKUP(A25,States!$A$2:$B$49,2,FALSE),FALSE)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IFERROR(VLOOKUP(A26,States!$A$2:$B$49,2,FALSE),FALSE)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IFERROR(VLOOKUP(A27,States!$A$2:$B$49,2,FALSE),FALSE)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IFERROR(VLOOKUP(A28,States!$A$2:$B$49,2,FALSE),FALSE)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IFERROR(VLOOKUP(A29,States!$A$2:$B$49,2,FALSE),FALSE)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IFERROR(VLOOKUP(A30,States!$A$2:$B$49,2,FALSE),FALSE)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IFERROR(VLOOKUP(A31,States!$A$2:$B$49,2,FALSE),FALSE)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IFERROR(VLOOKUP(A32,States!$A$2:$B$49,2,FALSE),FALSE)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IFERROR(VLOOKUP(A33,States!$A$2:$B$49,2,FALSE),FALSE)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IFERROR(VLOOKUP(A34,States!$A$2:$B$49,2,FALSE),FALSE)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IFERROR(VLOOKUP(A35,States!$A$2:$B$49,2,FALSE),FALSE)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IFERROR(VLOOKUP(A36,States!$A$2:$B$49,2,FALSE),FALSE)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IFERROR(VLOOKUP(A37,States!$A$2:$B$49,2,FALSE),FALSE)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5495ebbb2840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Alabama</x:v>
      </x:c>
      <x:c r="B3" s="13" t="str">
        <x:v>https://alabama.travel/</x:v>
      </x:c>
    </x:row>
    <x:row r="4">
      <x:c r="A4" s="13" t="str">
        <x:v>Arizona</x:v>
      </x:c>
      <x:c r="B4" s="13" t="str">
        <x:v>https://www.visitarizona.com/</x:v>
      </x:c>
    </x:row>
    <x:row r="5">
      <x:c r="A5" s="13" t="str">
        <x:v>Arkansas</x:v>
      </x:c>
      <x:c r="B5" s="13" t="str">
        <x:v>https://www.arkansas.com/</x:v>
      </x:c>
    </x:row>
    <x:row r="6">
      <x:c r="A6" s="13" t="str">
        <x:v>California</x:v>
      </x:c>
      <x:c r="B6" s="13" t="str">
        <x:v>https://www.visitcalifornia.com/</x:v>
      </x:c>
    </x:row>
    <x:row r="7">
      <x:c r="A7" s="13" t="str">
        <x:v>Colorado</x:v>
      </x:c>
      <x:c r="B7" s="13" t="str">
        <x:v>https://www.colorado.com/</x:v>
      </x:c>
    </x:row>
    <x:row r="8">
      <x:c r="A8" s="13" t="str">
        <x:v>Connecticut</x:v>
      </x:c>
      <x:c r="B8" s="13" t="str">
        <x:v>https://ctvisit.com/</x:v>
      </x:c>
    </x:row>
    <x:row r="9">
      <x:c r="A9" s="13" t="str">
        <x:v>Delaware</x:v>
      </x:c>
      <x:c r="B9" s="13" t="str">
        <x:v>https://www.visitdelaware.com/</x:v>
      </x:c>
    </x:row>
    <x:row r="10">
      <x:c r="A10" s="13" t="str">
        <x:v>Florida</x:v>
      </x:c>
      <x:c r="B10" s="13" t="str">
        <x:v>https://www.visitflorida.com/</x:v>
      </x:c>
    </x:row>
    <x:row r="11">
      <x:c r="A11" s="13" t="str">
        <x:v>Georgia</x:v>
      </x:c>
      <x:c r="B11" s="13" t="str">
        <x:v>https://www.exploregeorgia.org/</x:v>
      </x:c>
    </x:row>
    <x:row r="12">
      <x:c r="A12" s="13" t="str">
        <x:v>Idaho</x:v>
      </x:c>
      <x:c r="B12" s="13" t="str">
        <x:v>https://visitidaho.org/</x:v>
      </x:c>
    </x:row>
    <x:row r="13">
      <x:c r="A13" s="13" t="str">
        <x:v>Illinois</x:v>
      </x:c>
      <x:c r="B13" s="13" t="str">
        <x:v>https://www.enjoyillinois.com/</x:v>
      </x:c>
    </x:row>
    <x:row r="14">
      <x:c r="A14" s="13" t="str">
        <x:v>Indiana</x:v>
      </x:c>
      <x:c r="B14" s="13" t="str">
        <x:v>https://www.visitindiana.com/</x:v>
      </x:c>
    </x:row>
    <x:row r="15">
      <x:c r="A15" s="13" t="str">
        <x:v>Iowa</x:v>
      </x:c>
      <x:c r="B15" s="13" t="str">
        <x:v>https://www.traveliowa.com/</x:v>
      </x:c>
    </x:row>
    <x:row r="16">
      <x:c r="A16" s="13" t="str">
        <x:v>Kansas</x:v>
      </x:c>
      <x:c r="B16" s="13" t="str">
        <x:v>https://www.travelks.com/</x:v>
      </x:c>
    </x:row>
    <x:row r="17">
      <x:c r="A17" s="13" t="str">
        <x:v>Kentucky</x:v>
      </x:c>
      <x:c r="B17" s="13" t="str">
        <x:v>https://www.kentuckytourism.com/</x:v>
      </x:c>
    </x:row>
    <x:row r="18">
      <x:c r="A18" s="13" t="str">
        <x:v>Louisiana</x:v>
      </x:c>
      <x:c r="B18" s="13" t="str">
        <x:v>https://www.louisianatravel.com/</x:v>
      </x:c>
    </x:row>
    <x:row r="19">
      <x:c r="A19" s="13" t="str">
        <x:v>Maine</x:v>
      </x:c>
      <x:c r="B19" s="13" t="str">
        <x:v>https://visitmaine.com/</x:v>
      </x:c>
    </x:row>
    <x:row r="20">
      <x:c r="A20" s="13" t="str">
        <x:v>Maryland</x:v>
      </x:c>
      <x:c r="B20" s="13" t="str">
        <x:v>https://www.visitmaryland.org/</x:v>
      </x:c>
    </x:row>
    <x:row r="21">
      <x:c r="A21" s="13" t="str">
        <x:v>Massachusetts</x:v>
      </x:c>
      <x:c r="B21" s="13" t="str">
        <x:v>https://www.visitma.com/</x:v>
      </x:c>
    </x:row>
    <x:row r="22">
      <x:c r="A22" s="13" t="str">
        <x:v>Michigan</x:v>
      </x:c>
      <x:c r="B22" s="13" t="str">
        <x:v>https://www.michigan.org/</x:v>
      </x:c>
    </x:row>
    <x:row r="23">
      <x:c r="A23" s="13" t="str">
        <x:v>Minnesota</x:v>
      </x:c>
      <x:c r="B23" s="13" t="str">
        <x:v>https://www.exploreminnesota.com/</x:v>
      </x:c>
    </x:row>
    <x:row r="24">
      <x:c r="A24" s="13" t="str">
        <x:v>Mississippi</x:v>
      </x:c>
      <x:c r="B24" s="13" t="str">
        <x:v>https://visitmississippi.org/</x:v>
      </x:c>
    </x:row>
    <x:row r="25">
      <x:c r="A25" s="13" t="str">
        <x:v>Missouri</x:v>
      </x:c>
      <x:c r="B25" s="13" t="str">
        <x:v>https://www.visitmo.com/</x:v>
      </x:c>
    </x:row>
    <x:row r="26">
      <x:c r="A26" s="13" t="str">
        <x:v>Montana</x:v>
      </x:c>
      <x:c r="B26" s="13" t="str">
        <x:v>https://www.visitmt.com/</x:v>
      </x:c>
    </x:row>
    <x:row r="27">
      <x:c r="A27" s="13" t="str">
        <x:v>Nebraska</x:v>
      </x:c>
      <x:c r="B27" s="13" t="str">
        <x:v>https://visitnebraska.com/</x:v>
      </x:c>
    </x:row>
    <x:row r="28">
      <x:c r="A28" s="13" t="str">
        <x:v>Nevada</x:v>
      </x:c>
      <x:c r="B28" s="13" t="str">
        <x:v>https://travelnevada.com/</x:v>
      </x:c>
    </x:row>
    <x:row r="29">
      <x:c r="A29" s="13" t="str">
        <x:v>New Hampshire</x:v>
      </x:c>
      <x:c r="B29" s="13" t="str">
        <x:v>https://www.visitnh.gov/</x:v>
      </x:c>
    </x:row>
    <x:row r="30">
      <x:c r="A30" s="13" t="str">
        <x:v>New Jersey</x:v>
      </x:c>
      <x:c r="B30" s="13" t="str">
        <x:v>https://visitnj.org/</x:v>
      </x:c>
    </x:row>
    <x:row r="31">
      <x:c r="A31" s="13" t="str">
        <x:v>New Mexico</x:v>
      </x:c>
      <x:c r="B31" s="13" t="str">
        <x:v>https://www.newmexico.org/</x:v>
      </x:c>
    </x:row>
    <x:row r="32">
      <x:c r="A32" s="13" t="str">
        <x:v>New York</x:v>
      </x:c>
      <x:c r="B32" s="13" t="str">
        <x:v>https://www.iloveny.com/things-to-do/</x:v>
      </x:c>
    </x:row>
    <x:row r="33">
      <x:c r="A33" s="13" t="str">
        <x:v>North Carolina</x:v>
      </x:c>
      <x:c r="B33" s="13" t="str">
        <x:v>https://www.visitnc.com/</x:v>
      </x:c>
    </x:row>
    <x:row r="34">
      <x:c r="A34" s="13" t="str">
        <x:v>North Dakota</x:v>
      </x:c>
      <x:c r="B34" s="13" t="str">
        <x:v>https://www.ndtourism.com/</x:v>
      </x:c>
    </x:row>
    <x:row r="35">
      <x:c r="A35" s="13" t="str">
        <x:v>Pennsylvania</x:v>
      </x:c>
      <x:c r="B35" s="13" t="str">
        <x:v>https://www.visitpa.com/</x:v>
      </x:c>
    </x:row>
    <x:row r="36">
      <x:c r="A36" s="13" t="str">
        <x:v>Ohio</x:v>
      </x:c>
      <x:c r="B36" s="13" t="str">
        <x:v>https://ohio.org/things-to-do</x:v>
      </x:c>
    </x:row>
    <x:row r="37">
      <x:c r="A37" s="13" t="str">
        <x:v>Oklahoma</x:v>
      </x:c>
      <x:c r="B37" s="13" t="str">
        <x:v>https://www.travelok.com/</x:v>
      </x:c>
    </x:row>
    <x:row r="38">
      <x:c r="A38" s="13" t="str">
        <x:v>Oregon</x:v>
      </x:c>
      <x:c r="B38" s="13" t="str">
        <x:v>https://traveloregon.com/</x:v>
      </x:c>
    </x:row>
    <x:row r="39">
      <x:c r="A39" s="13" t="str">
        <x:v>Rhode Island</x:v>
      </x:c>
      <x:c r="B39" s="13" t="str">
        <x:v>https://www.visitrhodeisland.com/</x:v>
      </x:c>
    </x:row>
    <x:row r="40">
      <x:c r="A40" s="13" t="str">
        <x:v>South Carolina</x:v>
      </x:c>
      <x:c r="B40" s="13" t="str">
        <x:v>https://discoversouthcarolina.com/</x:v>
      </x:c>
    </x:row>
    <x:row r="41">
      <x:c r="A41" s="13" t="str">
        <x:v>South Dakota</x:v>
      </x:c>
      <x:c r="B41" s="13" t="str">
        <x:v>https://www.travelsouthdakota.com/</x:v>
      </x:c>
    </x:row>
    <x:row r="42">
      <x:c r="A42" s="13" t="str">
        <x:v>Tennessee</x:v>
      </x:c>
      <x:c r="B42" s="13" t="str">
        <x:v>https://www.tnvacation.com/</x:v>
      </x:c>
    </x:row>
    <x:row r="43">
      <x:c r="A43" s="13" t="str">
        <x:v>Texas</x:v>
      </x:c>
      <x:c r="B43" s="13" t="str">
        <x:v>https://www.traveltexas.com/</x:v>
      </x:c>
    </x:row>
    <x:row r="44">
      <x:c r="A44" s="13" t="str">
        <x:v>Utah</x:v>
      </x:c>
      <x:c r="B44" s="13" t="str">
        <x:v>https://www.visitutah.com/</x:v>
      </x:c>
    </x:row>
    <x:row r="45">
      <x:c r="A45" s="13" t="str">
        <x:v>Vermont</x:v>
      </x:c>
      <x:c r="B45" s="13" t="str">
        <x:v>https://www.vermontvacation.com/</x:v>
      </x:c>
    </x:row>
    <x:row r="46">
      <x:c r="A46" s="13" t="str">
        <x:v>Virginia</x:v>
      </x:c>
      <x:c r="B46" s="13" t="str">
        <x:v>https://www.virginia.org/</x:v>
      </x:c>
    </x:row>
    <x:row r="47">
      <x:c r="A47" s="13" t="str">
        <x:v>Washington</x:v>
      </x:c>
      <x:c r="B47" s="13" t="str">
        <x:v>https://stateofwatourism.com/</x:v>
      </x:c>
    </x:row>
    <x:row r="48">
      <x:c r="A48" s="13" t="str">
        <x:v>West Virginia</x:v>
      </x:c>
      <x:c r="B48" s="13" t="str">
        <x:v>https://wvtourism.com/</x:v>
      </x:c>
    </x:row>
    <x:row r="49">
      <x:c r="A49" s="13" t="str">
        <x:v>Wisconsin</x:v>
      </x:c>
      <x:c r="B49" s="13" t="str">
        <x:v>https://www.travelwisconsin.com/</x:v>
      </x:c>
    </x:row>
    <x:row r="50">
      <x:c r="A50" s="13" t="str">
        <x:v>Wyoming</x:v>
      </x:c>
      <x:c r="B50" s="13" t="str">
        <x:v>https://travelwyoming.com/</x:v>
      </x:c>
    </x:row>
    <x:row r="51">
      <x:c r="A51" s="13" t="str">
        <x:v>National Park Service reference</x:v>
      </x:c>
      <x:c r="B51" s="13" t="str">
        <x:v>https://www.nps.gov/</x:v>
      </x:c>
    </x:row>
    <x:row r="52">
      <x:c r="A52" s="13" t="str">
        <x:v>America's Byways</x:v>
      </x:c>
      <x:c r="B52" s="13" t="str">
        <x:v>https://www.byways.org/</x:v>
      </x:c>
    </x:row>
    <x:row r="53">
      <x:c r="A53" s="13" t="str">
        <x:v>Wisconsin Scenic Byways</x:v>
      </x:c>
      <x:c r="B53" s="13" t="str">
        <x:v>https://wisconsindot.gov/Pages/travel/road/scenic-ways/default.aspx</x:v>
      </x:c>
    </x:row>
    <x:row r="54">
      <x:c r="A54" s="13" t="str">
        <x:v>Minnesota Scenic Byways</x:v>
      </x:c>
      <x:c r="B54" s="13" t="str">
        <x:v>https://dot.mn.gov/scenicbyways/index.html</x:v>
      </x:c>
    </x:row>
    <x:row r="55">
      <x:c r="A55" s="13" t="str">
        <x:v>Montana Scenic-Historic Byways</x:v>
      </x:c>
      <x:c r="B55" s="13" t="str">
        <x:v>https://www.mdt.mt.gov/travinfo/scenic.aspx</x:v>
      </x:c>
    </x:row>
    <x:row r="56">
      <x:c r="A56" s="13" t="str">
        <x:v>Wyoming Scenic Byways</x:v>
      </x:c>
      <x:c r="B56" s="13" t="str">
        <x:v>https://dot.state.wy.us/home/travel/scenic_byways.html</x:v>
      </x:c>
    </x:row>
    <x:row r="57">
      <x:c r="A57" s="13" t="str">
        <x:v>Nebraska Scenic Byways</x:v>
      </x:c>
      <x:c r="B57" s="13" t="str">
        <x:v>https://visitnebraska.com/scenic-byways</x:v>
      </x:c>
    </x:row>
    <x:row r="58">
      <x:c r="A58" s="13" t="str">
        <x:v>Nebraska DOT Scenic Byways</x:v>
      </x:c>
      <x:c r="B58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383bc2ec35b54cbd"/>
  </x:tableParts>
</x:worksheet>
</file>