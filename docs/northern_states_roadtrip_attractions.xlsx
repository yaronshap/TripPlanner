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2182f71f8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71edb5be89b4f3c"/>
    <x:sheet xmlns:r="http://schemas.openxmlformats.org/officeDocument/2006/relationships" name="Attractions" sheetId="2" r:id="Re803c63d570a40bd"/>
    <x:sheet xmlns:r="http://schemas.openxmlformats.org/officeDocument/2006/relationships" name="States" sheetId="3" r:id="Rb293aba0c82d4ecf"/>
    <x:sheet xmlns:r="http://schemas.openxmlformats.org/officeDocument/2006/relationships" name="Scenic Roads" sheetId="4" r:id="R6b21f159fd4146a8"/>
    <x:sheet xmlns:r="http://schemas.openxmlformats.org/officeDocument/2006/relationships" name="Sources" sheetId="5" r:id="R4319e589509d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6F0F3"/>
      </x:patternFill>
    </x:fill>
    <x:fill>
      <x:patternFill patternType="solid">
        <x:fgColor rgb="FFF8E1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75df3292c4b47" /><Relationship Type="http://schemas.openxmlformats.org/officeDocument/2006/relationships/theme" Target="/xl/theme/theme1.xml" Id="R31235e5a36eb417c" /><Relationship Type="http://schemas.microsoft.com/office/2022/11/relationships/FeaturePropertyBag" Target="/xl/featurePropertyBag/featurePropertyBag.xml" Id="R9870f1c7cefa4ab9" /><Relationship Type="http://schemas.openxmlformats.org/officeDocument/2006/relationships/sharedStrings" Target="/xl/sharedStrings.xml" Id="Rf605c9f389634b13" /><Relationship Type="http://schemas.openxmlformats.org/officeDocument/2006/relationships/worksheet" Target="/xl/worksheets/sheet1.xml" Id="R071edb5be89b4f3c" /><Relationship Type="http://schemas.openxmlformats.org/officeDocument/2006/relationships/worksheet" Target="/xl/worksheets/sheet2.xml" Id="Re803c63d570a40bd" /><Relationship Type="http://schemas.openxmlformats.org/officeDocument/2006/relationships/worksheet" Target="/xl/worksheets/sheet3.xml" Id="Rb293aba0c82d4ecf" /><Relationship Type="http://schemas.openxmlformats.org/officeDocument/2006/relationships/worksheet" Target="/xl/worksheets/sheet4.xml" Id="R6b21f159fd4146a8" /><Relationship Type="http://schemas.openxmlformats.org/officeDocument/2006/relationships/worksheet" Target="/xl/worksheets/sheet5.xml" Id="R4319e589509d41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ttractionsTable" displayName="AttractionsTable" ref="A1:Q511" headerRowCount="1">
  <x:tableColumns count="17">
    <x:tableColumn id="1" name="State"/>
    <x:tableColumn id="2" name="Nearest City"/>
    <x:tableColumn id="3" name="Longitude"/>
    <x:tableColumn id="4" name="Latitude"/>
    <x:tableColumn id="5" name="Attraction Name"/>
    <x:tableColumn id="6" name="Audience"/>
    <x:tableColumn id="7" name="Why Interesting"/>
    <x:tableColumn id="8" name="Attraction Type"/>
    <x:tableColumn id="9" name="Link 1"/>
    <x:tableColumn id="10" name="Link 2"/>
    <x:tableColumn id="11" name="Link 3"/>
    <x:tableColumn id="12" name="Link 4"/>
    <x:tableColumn id="13" name="Link 5"/>
    <x:tableColumn id="14" name="Google Maps Link"/>
    <x:tableColumn id="15" name="Attraction Selected"/>
    <x:tableColumn id="16" name="State Selected"/>
    <x:tableColumn id="17" name="Visualize"/>
  </x:tableColumns>
  <x:tableStyleInfo name="TableStyleMedium2" showRowStripes="1"/>
</x:table>
</file>

<file path=xl/tables/table2.xml><?xml version="1.0" encoding="utf-8"?>
<x:table xmlns:x="http://schemas.openxmlformats.org/spreadsheetml/2006/main" id="2" name="StatesTable" displayName="StatesTable" ref="A1:D18" headerRowCount="1">
  <x:tableColumns count="4">
    <x:tableColumn id="1" name="State"/>
    <x:tableColumn id="2" name="Selected"/>
    <x:tableColumn id="3" name="Scope Band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enicRoadsTable" displayName="ScenicRoadsTable" ref="A1:L37" headerRowCount="1">
  <x:tableColumns count="12">
    <x:tableColumn id="1" name="State"/>
    <x:tableColumn id="2" name="Scenic Road"/>
    <x:tableColumn id="3" name="Start / Nearest City"/>
    <x:tableColumn id="4" name="End / Nearest City"/>
    <x:tableColumn id="5" name="Brief Description"/>
    <x:tableColumn id="6" name="Scenery Type"/>
    <x:tableColumn id="7" name="Info / Images Link"/>
    <x:tableColumn id="8" name="Google Maps Link"/>
    <x:tableColumn id="9" name="Approximate Path"/>
    <x:tableColumn id="10" name="Road Selected"/>
    <x:tableColumn id="11" name="State Selected"/>
    <x:tableColumn id="12" name="Visualiz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B27" headerRowCount="1">
  <x:tableColumns count="2">
    <x:tableColumn id="1" name="Source / Use"/>
    <x:tableColumn id="2" name="Link or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41723aa7b46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2aa215568143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9307621fb045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9250e9dfe46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Northern States Road Trip Attraction Planner</x:v>
      </x:c>
    </x:row>
    <x:row r="3">
      <x:c r="A3" s="5" t="str">
        <x:v>Starting point</x:v>
      </x:c>
      <x:c r="B3" t="str">
        <x:v>Rochester, NY</x:v>
      </x:c>
    </x:row>
    <x:row r="4">
      <x:c r="A4" s="5" t="str">
        <x:v>State scope</x:v>
      </x:c>
      <x:c r="B4" t="str">
        <x:v>Upper two-state band westward from New York, plus Nebraska</x:v>
      </x:c>
    </x:row>
    <x:row r="5">
      <x:c r="A5" s="5" t="str">
        <x:v>States included</x:v>
      </x:c>
      <x:c r="B5" t="n">
        <x:v>17</x:v>
      </x:c>
    </x:row>
    <x:row r="6">
      <x:c r="A6" s="5" t="str">
        <x:v>Attractions included</x:v>
      </x:c>
      <x:c r="B6" t="n">
        <x:v>510</x:v>
      </x:c>
    </x:row>
    <x:row r="7">
      <x:c r="A7" s="5" t="str">
        <x:v>Scenic roads included</x:v>
      </x:c>
      <x:c r="B7" t="n">
        <x:v>36</x:v>
      </x:c>
    </x:row>
    <x:row r="8">
      <x:c r="A8" s="5" t="str">
        <x:v>Default selection</x:v>
      </x:c>
      <x:c r="B8" t="str">
        <x:v>All scoped states and all attractions selected</x:v>
      </x:c>
    </x:row>
    <x:row r="9">
      <x:c r="A9" s="5" t="str">
        <x:v>Map companion</x:v>
      </x:c>
      <x:c r="B9" t="str">
        <x:v>Open northern_states_roadtrip_map.html</x:v>
      </x:c>
    </x:row>
    <x:row r="11">
      <x:c r="A11" s="7" t="str">
        <x:v>Use the States worksheet to toggle whole states, the Attraction Selected column on Attractions to toggle individual stops, and the Road Selected column on Scenic Roads to toggle scenic-route lines. The HTML map includes matching interactive controls and starts from the same default selection.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1" hidden="0" customWidth="1"/>
    <x:col min="4" max="4" width="11" hidden="0" customWidth="1"/>
    <x:col min="5" max="5" width="34" hidden="0" customWidth="1"/>
    <x:col min="6" max="6" width="38" hidden="0" customWidth="1"/>
    <x:col min="7" max="7" width="38" hidden="0" customWidth="1"/>
    <x:col min="8" max="8" width="18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15" t="str">
        <x:v>State</x:v>
      </x:c>
      <x:c r="B1" s="15" t="str">
        <x:v>Nearest City</x:v>
      </x:c>
      <x:c r="C1" s="15" t="str">
        <x:v>Longitude</x:v>
      </x:c>
      <x:c r="D1" s="15" t="str">
        <x:v>Latitude</x:v>
      </x:c>
      <x:c r="E1" s="15" t="str">
        <x:v>Attraction Name</x:v>
      </x:c>
      <x:c r="F1" s="15" t="str">
        <x:v>Audience</x:v>
      </x:c>
      <x:c r="G1" s="15" t="str">
        <x:v>Why Interesting</x:v>
      </x:c>
      <x:c r="H1" s="15" t="str">
        <x:v>Attraction Type</x:v>
      </x:c>
      <x:c r="I1" s="15" t="str">
        <x:v>Link 1</x:v>
      </x:c>
      <x:c r="J1" s="15" t="str">
        <x:v>Link 2</x:v>
      </x:c>
      <x:c r="K1" s="15" t="str">
        <x:v>Link 3</x:v>
      </x:c>
      <x:c r="L1" s="15" t="str">
        <x:v>Link 4</x:v>
      </x:c>
      <x:c r="M1" s="15" t="str">
        <x:v>Link 5</x:v>
      </x:c>
      <x:c r="N1" s="15" t="str">
        <x:v>Google Maps Link</x:v>
      </x:c>
      <x:c r="O1" s="15" t="str">
        <x:v>Attraction Selected</x:v>
      </x:c>
      <x:c r="P1" s="15" t="str">
        <x:v>State Selected</x:v>
      </x:c>
      <x:c r="Q1" s="15" t="str">
        <x:v>Visualize</x:v>
      </x:c>
    </x:row>
    <x:row r="2">
      <x:c r="A2" s="16" t="str">
        <x:v>New York</x:v>
      </x:c>
      <x:c r="B2" s="16" t="str">
        <x:v>Niagara Falls</x:v>
      </x:c>
      <x:c r="C2" s="16" t="n">
        <x:v>-79.074</x:v>
      </x:c>
      <x:c r="D2" s="16" t="n">
        <x:v>43.083</x:v>
      </x:c>
      <x:c r="E2" s="16" t="str">
        <x:v>Niagara Falls State Park</x:v>
      </x:c>
      <x:c r="F2" s="16" t="str">
        <x:v>Families, first-time visitors, photographers</x:v>
      </x:c>
      <x:c r="G2" s="16" t="str">
        <x:v>Iconic waterfalls with close-up overlooks and boat tours.</x:v>
      </x:c>
      <x:c r="H2" s="16" t="str">
        <x:v>Nature</x:v>
      </x:c>
      <x:c r="I2" s="16" t="str">
        <x:v>https://www.google.com/search?q=Niagara%20Falls%20State%20Park%20Niagara%20Falls%20New%20York%20official%20website</x:v>
      </x:c>
      <x:c r="J2" s="16" t="str">
        <x:v>https://www.google.com/search?q=site%3Ailoveny.com%20Niagara%20Falls%20State%20Park</x:v>
      </x:c>
      <x:c r="K2" s="16" t="str">
        <x:v>https://www.google.com/search?q=Niagara%20Falls%20State%20Park%20Niagara%20Falls%20New%20York%20visitor%20information</x:v>
      </x:c>
      <x:c r="L2" s="16" t="str">
        <x:v>https://www.google.com/search?q=Niagara%20Falls%20State%20Park%20Niagara%20Falls%20New%20York%20photos</x:v>
      </x:c>
      <x:c r="M2" s="16" t="str">
        <x:v>https://www.google.com/search?q=Niagara%20Falls%20State%20Park%20Niagara%20Falls%20New%20York%20wikipedia%20OR%20wikivoyage</x:v>
      </x:c>
      <x:c r="N2" s="16" t="str">
        <x:v>https://www.google.com/maps/search/?api=1&amp;query=Niagara%20Falls%20State%20Park%2C%20Niagara%20Falls%2C%20New%20York</x:v>
      </x:c>
      <x:c r="O2" s="17" t="b">
        <x:v>1</x:v>
      </x:c>
      <x:c r="P2" s="16" t="b">
        <x:f>IFERROR(VLOOKUP(A2,States!$A$2:$B$18,2,FALSE),FALSE)</x:f>
        <x:v>1</x:v>
      </x:c>
      <x:c r="Q2" s="16" t="b">
        <x:f>AND(OR(O2=TRUE,O2="TRUE"),OR(P2=TRUE,P2="TRUE"))</x:f>
        <x:v>1</x:v>
      </x:c>
    </x:row>
    <x:row r="3">
      <x:c r="A3" s="16" t="str">
        <x:v>New York</x:v>
      </x:c>
      <x:c r="B3" s="16" t="str">
        <x:v>Castile</x:v>
      </x:c>
      <x:c r="C3" s="16" t="n">
        <x:v>-78.043</x:v>
      </x:c>
      <x:c r="D3" s="16" t="n">
        <x:v>42.573</x:v>
      </x:c>
      <x:c r="E3" s="16" t="str">
        <x:v>Letchworth State Park</x:v>
      </x:c>
      <x:c r="F3" s="16" t="str">
        <x:v>Hikers, families, waterfall fans</x:v>
      </x:c>
      <x:c r="G3" s="16" t="str">
        <x:v>A dramatic gorge often called the Grand Canyon of the East.</x:v>
      </x:c>
      <x:c r="H3" s="16" t="str">
        <x:v>Nature</x:v>
      </x:c>
      <x:c r="I3" s="16" t="str">
        <x:v>https://www.google.com/search?q=Letchworth%20State%20Park%20Castile%20New%20York%20official%20website</x:v>
      </x:c>
      <x:c r="J3" s="16" t="str">
        <x:v>https://www.google.com/search?q=site%3Ailoveny.com%20Letchworth%20State%20Park</x:v>
      </x:c>
      <x:c r="K3" s="16" t="str">
        <x:v>https://www.google.com/search?q=Letchworth%20State%20Park%20Castile%20New%20York%20visitor%20information</x:v>
      </x:c>
      <x:c r="L3" s="16" t="str">
        <x:v>https://www.google.com/search?q=Letchworth%20State%20Park%20Castile%20New%20York%20photos</x:v>
      </x:c>
      <x:c r="M3" s="16" t="str">
        <x:v>https://www.google.com/search?q=Letchworth%20State%20Park%20Castile%20New%20York%20wikipedia%20OR%20wikivoyage</x:v>
      </x:c>
      <x:c r="N3" s="16" t="str">
        <x:v>https://www.google.com/maps/search/?api=1&amp;query=Letchworth%20State%20Park%2C%20Castile%2C%20New%20York</x:v>
      </x:c>
      <x:c r="O3" s="17" t="b">
        <x:v>1</x:v>
      </x:c>
      <x:c r="P3" s="16" t="b">
        <x:f>IFERROR(VLOOKUP(A3,States!$A$2:$B$18,2,FALSE),FALSE)</x:f>
        <x:v>1</x:v>
      </x:c>
      <x:c r="Q3" s="16" t="b">
        <x:f>AND(OR(O3=TRUE,O3="TRUE"),OR(P3=TRUE,P3="TRUE"))</x:f>
        <x:v>1</x:v>
      </x:c>
    </x:row>
    <x:row r="4">
      <x:c r="A4" s="16" t="str">
        <x:v>New York</x:v>
      </x:c>
      <x:c r="B4" s="16" t="str">
        <x:v>Watkins Glen</x:v>
      </x:c>
      <x:c r="C4" s="16" t="n">
        <x:v>-76.873</x:v>
      </x:c>
      <x:c r="D4" s="16" t="n">
        <x:v>42.381</x:v>
      </x:c>
      <x:c r="E4" s="16" t="str">
        <x:v>Watkins Glen State Park</x:v>
      </x:c>
      <x:c r="F4" s="16" t="str">
        <x:v>Hikers, photographers, couples</x:v>
      </x:c>
      <x:c r="G4" s="16" t="str">
        <x:v>A compact gorge trail passes waterfalls, bridges, and stone stairs.</x:v>
      </x:c>
      <x:c r="H4" s="16" t="str">
        <x:v>Nature</x:v>
      </x:c>
      <x:c r="I4" s="16" t="str">
        <x:v>https://www.google.com/search?q=Watkins%20Glen%20State%20Park%20Watkins%20Glen%20New%20York%20official%20website</x:v>
      </x:c>
      <x:c r="J4" s="16" t="str">
        <x:v>https://www.google.com/search?q=site%3Ailoveny.com%20Watkins%20Glen%20State%20Park</x:v>
      </x:c>
      <x:c r="K4" s="16" t="str">
        <x:v>https://www.google.com/search?q=Watkins%20Glen%20State%20Park%20Watkins%20Glen%20New%20York%20visitor%20information</x:v>
      </x:c>
      <x:c r="L4" s="16" t="str">
        <x:v>https://www.google.com/search?q=Watkins%20Glen%20State%20Park%20Watkins%20Glen%20New%20York%20photos</x:v>
      </x:c>
      <x:c r="M4" s="16" t="str">
        <x:v>https://www.google.com/search?q=Watkins%20Glen%20State%20Park%20Watkins%20Glen%20New%20York%20wikipedia%20OR%20wikivoyage</x:v>
      </x:c>
      <x:c r="N4" s="16" t="str">
        <x:v>https://www.google.com/maps/search/?api=1&amp;query=Watkins%20Glen%20State%20Park%2C%20Watkins%20Glen%2C%20New%20York</x:v>
      </x:c>
      <x:c r="O4" s="17" t="b">
        <x:v>1</x:v>
      </x:c>
      <x:c r="P4" s="16" t="b">
        <x:f>IFERROR(VLOOKUP(A4,States!$A$2:$B$18,2,FALSE),FALSE)</x:f>
        <x:v>1</x:v>
      </x:c>
      <x:c r="Q4" s="16" t="b">
        <x:f>AND(OR(O4=TRUE,O4="TRUE"),OR(P4=TRUE,P4="TRUE"))</x:f>
        <x:v>1</x:v>
      </x:c>
    </x:row>
    <x:row r="5">
      <x:c r="A5" s="16" t="str">
        <x:v>New York</x:v>
      </x:c>
      <x:c r="B5" s="16" t="str">
        <x:v>Corning</x:v>
      </x:c>
      <x:c r="C5" s="16" t="n">
        <x:v>-77.055</x:v>
      </x:c>
      <x:c r="D5" s="16" t="n">
        <x:v>42.148</x:v>
      </x:c>
      <x:c r="E5" s="16" t="str">
        <x:v>Corning Museum of Glass</x:v>
      </x:c>
      <x:c r="F5" s="16" t="str">
        <x:v>Families, art lovers, makers</x:v>
      </x:c>
      <x:c r="G5" s="16" t="str">
        <x:v>Live glass demos and deep collections make the craft tangible.</x:v>
      </x:c>
      <x:c r="H5" s="16" t="str">
        <x:v>Museum</x:v>
      </x:c>
      <x:c r="I5" s="16" t="str">
        <x:v>https://www.google.com/search?q=Corning%20Museum%20of%20Glass%20Corning%20New%20York%20official%20website</x:v>
      </x:c>
      <x:c r="J5" s="16" t="str">
        <x:v>https://www.google.com/search?q=site%3Ailoveny.com%20Corning%20Museum%20of%20Glass</x:v>
      </x:c>
      <x:c r="K5" s="16" t="str">
        <x:v>https://www.google.com/search?q=Corning%20Museum%20of%20Glass%20Corning%20New%20York%20visitor%20information</x:v>
      </x:c>
      <x:c r="L5" s="16" t="str">
        <x:v>https://www.google.com/search?q=Corning%20Museum%20of%20Glass%20Corning%20New%20York%20photos</x:v>
      </x:c>
      <x:c r="M5" s="16" t="str">
        <x:v>https://www.google.com/search?q=Corning%20Museum%20of%20Glass%20Corning%20New%20York%20wikipedia%20OR%20wikivoyage</x:v>
      </x:c>
      <x:c r="N5" s="16" t="str">
        <x:v>https://www.google.com/maps/search/?api=1&amp;query=Corning%20Museum%20of%20Glass%2C%20Corning%2C%20New%20York</x:v>
      </x:c>
      <x:c r="O5" s="17" t="b">
        <x:v>1</x:v>
      </x:c>
      <x:c r="P5" s="16" t="b">
        <x:f>IFERROR(VLOOKUP(A5,States!$A$2:$B$18,2,FALSE),FALSE)</x:f>
        <x:v>1</x:v>
      </x:c>
      <x:c r="Q5" s="16" t="b">
        <x:f>AND(OR(O5=TRUE,O5="TRUE"),OR(P5=TRUE,P5="TRUE"))</x:f>
        <x:v>1</x:v>
      </x:c>
    </x:row>
    <x:row r="6">
      <x:c r="A6" s="16" t="str">
        <x:v>New York</x:v>
      </x:c>
      <x:c r="B6" s="16" t="str">
        <x:v>Rochester</x:v>
      </x:c>
      <x:c r="C6" s="16" t="n">
        <x:v>-77.601</x:v>
      </x:c>
      <x:c r="D6" s="16" t="n">
        <x:v>43.152</x:v>
      </x:c>
      <x:c r="E6" s="16" t="str">
        <x:v>The Strong National Museum of Play</x:v>
      </x:c>
      <x:c r="F6" s="16" t="str">
        <x:v>Families, kids, game fans</x:v>
      </x:c>
      <x:c r="G6" s="16" t="str">
        <x:v>Interactive exhibits make toys, games, and pop culture hands-on.</x:v>
      </x:c>
      <x:c r="H6" s="16" t="str">
        <x:v>Museum</x:v>
      </x:c>
      <x:c r="I6" s="16" t="str">
        <x:v>https://www.google.com/search?q=The%20Strong%20National%20Museum%20of%20Play%20Rochester%20New%20York%20official%20website</x:v>
      </x:c>
      <x:c r="J6" s="16" t="str">
        <x:v>https://www.google.com/search?q=site%3Ailoveny.com%20The%20Strong%20National%20Museum%20of%20Play</x:v>
      </x:c>
      <x:c r="K6" s="16" t="str">
        <x:v>https://www.google.com/search?q=The%20Strong%20National%20Museum%20of%20Play%20Rochester%20New%20York%20visitor%20information</x:v>
      </x:c>
      <x:c r="L6" s="16" t="str">
        <x:v>https://www.google.com/search?q=The%20Strong%20National%20Museum%20of%20Play%20Rochester%20New%20York%20photos</x:v>
      </x:c>
      <x:c r="M6" s="16" t="str">
        <x:v>https://www.google.com/search?q=The%20Strong%20National%20Museum%20of%20Play%20Rochester%20New%20York%20wikipedia%20OR%20wikivoyage</x:v>
      </x:c>
      <x:c r="N6" s="16" t="str">
        <x:v>https://www.google.com/maps/search/?api=1&amp;query=The%20Strong%20National%20Museum%20of%20Play%2C%20Rochester%2C%20New%20York</x:v>
      </x:c>
      <x:c r="O6" s="17" t="b">
        <x:v>1</x:v>
      </x:c>
      <x:c r="P6" s="16" t="b">
        <x:f>IFERROR(VLOOKUP(A6,States!$A$2:$B$18,2,FALSE),FALSE)</x:f>
        <x:v>1</x:v>
      </x:c>
      <x:c r="Q6" s="16" t="b">
        <x:f>AND(OR(O6=TRUE,O6="TRUE"),OR(P6=TRUE,P6="TRUE"))</x:f>
        <x:v>1</x:v>
      </x:c>
    </x:row>
    <x:row r="7">
      <x:c r="A7" s="16" t="str">
        <x:v>New York</x:v>
      </x:c>
      <x:c r="B7" s="16" t="str">
        <x:v>Rochester</x:v>
      </x:c>
      <x:c r="C7" s="16" t="n">
        <x:v>-77.58</x:v>
      </x:c>
      <x:c r="D7" s="16" t="n">
        <x:v>43.153</x:v>
      </x:c>
      <x:c r="E7" s="16" t="str">
        <x:v>George Eastman Museum</x:v>
      </x:c>
      <x:c r="F7" s="16" t="str">
        <x:v>Photography fans, history lovers</x:v>
      </x:c>
      <x:c r="G7" s="16" t="str">
        <x:v>A landmark photography collection inside Eastman's historic estate.</x:v>
      </x:c>
      <x:c r="H7" s="16" t="str">
        <x:v>Museum</x:v>
      </x:c>
      <x:c r="I7" s="16" t="str">
        <x:v>https://www.google.com/search?q=George%20Eastman%20Museum%20Rochester%20New%20York%20official%20website</x:v>
      </x:c>
      <x:c r="J7" s="16" t="str">
        <x:v>https://www.google.com/search?q=site%3Ailoveny.com%20George%20Eastman%20Museum</x:v>
      </x:c>
      <x:c r="K7" s="16" t="str">
        <x:v>https://www.google.com/search?q=George%20Eastman%20Museum%20Rochester%20New%20York%20visitor%20information</x:v>
      </x:c>
      <x:c r="L7" s="16" t="str">
        <x:v>https://www.google.com/search?q=George%20Eastman%20Museum%20Rochester%20New%20York%20photos</x:v>
      </x:c>
      <x:c r="M7" s="16" t="str">
        <x:v>https://www.google.com/search?q=George%20Eastman%20Museum%20Rochester%20New%20York%20wikipedia%20OR%20wikivoyage</x:v>
      </x:c>
      <x:c r="N7" s="16" t="str">
        <x:v>https://www.google.com/maps/search/?api=1&amp;query=George%20Eastman%20Museum%2C%20Rochester%2C%20New%20York</x:v>
      </x:c>
      <x:c r="O7" s="17" t="b">
        <x:v>1</x:v>
      </x:c>
      <x:c r="P7" s="16" t="b">
        <x:f>IFERROR(VLOOKUP(A7,States!$A$2:$B$18,2,FALSE),FALSE)</x:f>
        <x:v>1</x:v>
      </x:c>
      <x:c r="Q7" s="16" t="b">
        <x:f>AND(OR(O7=TRUE,O7="TRUE"),OR(P7=TRUE,P7="TRUE"))</x:f>
        <x:v>1</x:v>
      </x:c>
    </x:row>
    <x:row r="8">
      <x:c r="A8" s="16" t="str">
        <x:v>New York</x:v>
      </x:c>
      <x:c r="B8" s="16" t="str">
        <x:v>Syracuse</x:v>
      </x:c>
      <x:c r="C8" s="16" t="n">
        <x:v>-76.151</x:v>
      </x:c>
      <x:c r="D8" s="16" t="n">
        <x:v>43.052</x:v>
      </x:c>
      <x:c r="E8" s="16" t="str">
        <x:v>Erie Canal Museum</x:v>
      </x:c>
      <x:c r="F8" s="16" t="str">
        <x:v>History buffs, road trippers</x:v>
      </x:c>
      <x:c r="G8" s="16" t="str">
        <x:v>Explains the canal that reshaped travel, trade, and Upstate towns.</x:v>
      </x:c>
      <x:c r="H8" s="16" t="str">
        <x:v>Museum</x:v>
      </x:c>
      <x:c r="I8" s="16" t="str">
        <x:v>https://www.google.com/search?q=Erie%20Canal%20Museum%20Syracuse%20New%20York%20official%20website</x:v>
      </x:c>
      <x:c r="J8" s="16" t="str">
        <x:v>https://www.google.com/search?q=site%3Ailoveny.com%20Erie%20Canal%20Museum</x:v>
      </x:c>
      <x:c r="K8" s="16" t="str">
        <x:v>https://www.google.com/search?q=Erie%20Canal%20Museum%20Syracuse%20New%20York%20visitor%20information</x:v>
      </x:c>
      <x:c r="L8" s="16" t="str">
        <x:v>https://www.google.com/search?q=Erie%20Canal%20Museum%20Syracuse%20New%20York%20photos</x:v>
      </x:c>
      <x:c r="M8" s="16" t="str">
        <x:v>https://www.google.com/search?q=Erie%20Canal%20Museum%20Syracuse%20New%20York%20wikipedia%20OR%20wikivoyage</x:v>
      </x:c>
      <x:c r="N8" s="16" t="str">
        <x:v>https://www.google.com/maps/search/?api=1&amp;query=Erie%20Canal%20Museum%2C%20Syracuse%2C%20New%20York</x:v>
      </x:c>
      <x:c r="O8" s="17" t="b">
        <x:v>1</x:v>
      </x:c>
      <x:c r="P8" s="16" t="b">
        <x:f>IFERROR(VLOOKUP(A8,States!$A$2:$B$18,2,FALSE),FALSE)</x:f>
        <x:v>1</x:v>
      </x:c>
      <x:c r="Q8" s="16" t="b">
        <x:f>AND(OR(O8=TRUE,O8="TRUE"),OR(P8=TRUE,P8="TRUE"))</x:f>
        <x:v>1</x:v>
      </x:c>
    </x:row>
    <x:row r="9">
      <x:c r="A9" s="16" t="str">
        <x:v>New York</x:v>
      </x:c>
      <x:c r="B9" s="16" t="str">
        <x:v>Lake Placid</x:v>
      </x:c>
      <x:c r="C9" s="16" t="n">
        <x:v>-73.979</x:v>
      </x:c>
      <x:c r="D9" s="16" t="n">
        <x:v>44.279</x:v>
      </x:c>
      <x:c r="E9" s="16" t="str">
        <x:v>Adirondack High Peaks</x:v>
      </x:c>
      <x:c r="F9" s="16" t="str">
        <x:v>Hikers, skiers, outdoor travelers</x:v>
      </x:c>
      <x:c r="G9" s="16" t="str">
        <x:v>Alpine lakes, Olympic history, and rugged mountain trailheads converge.</x:v>
      </x:c>
      <x:c r="H9" s="16" t="str">
        <x:v>Nature</x:v>
      </x:c>
      <x:c r="I9" s="16" t="str">
        <x:v>https://www.google.com/search?q=Adirondack%20High%20Peaks%20Lake%20Placid%20New%20York%20official%20website</x:v>
      </x:c>
      <x:c r="J9" s="16" t="str">
        <x:v>https://www.google.com/search?q=site%3Ailoveny.com%20Adirondack%20High%20Peaks</x:v>
      </x:c>
      <x:c r="K9" s="16" t="str">
        <x:v>https://www.google.com/search?q=Adirondack%20High%20Peaks%20Lake%20Placid%20New%20York%20visitor%20information</x:v>
      </x:c>
      <x:c r="L9" s="16" t="str">
        <x:v>https://www.google.com/search?q=Adirondack%20High%20Peaks%20Lake%20Placid%20New%20York%20photos</x:v>
      </x:c>
      <x:c r="M9" s="16" t="str">
        <x:v>https://www.google.com/search?q=Adirondack%20High%20Peaks%20Lake%20Placid%20New%20York%20wikipedia%20OR%20wikivoyage</x:v>
      </x:c>
      <x:c r="N9" s="16" t="str">
        <x:v>https://www.google.com/maps/search/?api=1&amp;query=Adirondack%20High%20Peaks%2C%20Lake%20Placid%2C%20New%20York</x:v>
      </x:c>
      <x:c r="O9" s="17" t="b">
        <x:v>1</x:v>
      </x:c>
      <x:c r="P9" s="16" t="b">
        <x:f>IFERROR(VLOOKUP(A9,States!$A$2:$B$18,2,FALSE),FALSE)</x:f>
        <x:v>1</x:v>
      </x:c>
      <x:c r="Q9" s="16" t="b">
        <x:f>AND(OR(O9=TRUE,O9="TRUE"),OR(P9=TRUE,P9="TRUE"))</x:f>
        <x:v>1</x:v>
      </x:c>
    </x:row>
    <x:row r="10">
      <x:c r="A10" s="16" t="str">
        <x:v>New York</x:v>
      </x:c>
      <x:c r="B10" s="16" t="str">
        <x:v>Ausable Chasm</x:v>
      </x:c>
      <x:c r="C10" s="16" t="n">
        <x:v>-73.461</x:v>
      </x:c>
      <x:c r="D10" s="16" t="n">
        <x:v>44.525</x:v>
      </x:c>
      <x:c r="E10" s="16" t="str">
        <x:v>Ausable Chasm</x:v>
      </x:c>
      <x:c r="F10" s="16" t="str">
        <x:v>Families, hikers, adventure travelers</x:v>
      </x:c>
      <x:c r="G10" s="16" t="str">
        <x:v>A sandstone gorge with walkways, rafting, and striking rock walls.</x:v>
      </x:c>
      <x:c r="H10" s="16" t="str">
        <x:v>Nature</x:v>
      </x:c>
      <x:c r="I10" s="16" t="str">
        <x:v>https://www.google.com/search?q=Ausable%20Chasm%20Ausable%20Chasm%20New%20York%20official%20website</x:v>
      </x:c>
      <x:c r="J10" s="16" t="str">
        <x:v>https://www.google.com/search?q=site%3Ailoveny.com%20Ausable%20Chasm</x:v>
      </x:c>
      <x:c r="K10" s="16" t="str">
        <x:v>https://www.google.com/search?q=Ausable%20Chasm%20Ausable%20Chasm%20New%20York%20visitor%20information</x:v>
      </x:c>
      <x:c r="L10" s="16" t="str">
        <x:v>https://www.google.com/search?q=Ausable%20Chasm%20Ausable%20Chasm%20New%20York%20photos</x:v>
      </x:c>
      <x:c r="M10" s="16" t="str">
        <x:v>https://www.google.com/search?q=Ausable%20Chasm%20Ausable%20Chasm%20New%20York%20wikipedia%20OR%20wikivoyage</x:v>
      </x:c>
      <x:c r="N10" s="16" t="str">
        <x:v>https://www.google.com/maps/search/?api=1&amp;query=Ausable%20Chasm%2C%20Ausable%20Chasm%2C%20New%20York</x:v>
      </x:c>
      <x:c r="O10" s="17" t="b">
        <x:v>1</x:v>
      </x:c>
      <x:c r="P10" s="16" t="b">
        <x:f>IFERROR(VLOOKUP(A10,States!$A$2:$B$18,2,FALSE),FALSE)</x:f>
        <x:v>1</x:v>
      </x:c>
      <x:c r="Q10" s="16" t="b">
        <x:f>AND(OR(O10=TRUE,O10="TRUE"),OR(P10=TRUE,P10="TRUE"))</x:f>
        <x:v>1</x:v>
      </x:c>
    </x:row>
    <x:row r="11">
      <x:c r="A11" s="16" t="str">
        <x:v>New York</x:v>
      </x:c>
      <x:c r="B11" s="16" t="str">
        <x:v>Alexandria Bay</x:v>
      </x:c>
      <x:c r="C11" s="16" t="n">
        <x:v>-75.922</x:v>
      </x:c>
      <x:c r="D11" s="16" t="n">
        <x:v>44.344</x:v>
      </x:c>
      <x:c r="E11" s="16" t="str">
        <x:v>Boldt Castle and Thousand Islands</x:v>
      </x:c>
      <x:c r="F11" s="16" t="str">
        <x:v>Families, couples, boaters</x:v>
      </x:c>
      <x:c r="G11" s="16" t="str">
        <x:v>A castle visit pairs with island scenery on the St. Lawrence River.</x:v>
      </x:c>
      <x:c r="H11" s="16" t="str">
        <x:v>Historic Site</x:v>
      </x:c>
      <x:c r="I11" s="16" t="str">
        <x:v>https://www.google.com/search?q=Boldt%20Castle%20and%20Thousand%20Islands%20Alexandria%20Bay%20New%20York%20official%20website</x:v>
      </x:c>
      <x:c r="J11" s="16" t="str">
        <x:v>https://www.google.com/search?q=site%3Ailoveny.com%20Boldt%20Castle%20and%20Thousand%20Islands</x:v>
      </x:c>
      <x:c r="K11" s="16" t="str">
        <x:v>https://www.google.com/search?q=Boldt%20Castle%20and%20Thousand%20Islands%20Alexandria%20Bay%20New%20York%20visitor%20information</x:v>
      </x:c>
      <x:c r="L11" s="16" t="str">
        <x:v>https://www.google.com/search?q=Boldt%20Castle%20and%20Thousand%20Islands%20Alexandria%20Bay%20New%20York%20photos</x:v>
      </x:c>
      <x:c r="M11" s="16" t="str">
        <x:v>https://www.google.com/search?q=Boldt%20Castle%20and%20Thousand%20Islands%20Alexandria%20Bay%20New%20York%20wikipedia%20OR%20wikivoyage</x:v>
      </x:c>
      <x:c r="N11" s="16" t="str">
        <x:v>https://www.google.com/maps/search/?api=1&amp;query=Boldt%20Castle%20and%20Thousand%20Islands%2C%20Alexandria%20Bay%2C%20New%20York</x:v>
      </x:c>
      <x:c r="O11" s="17" t="b">
        <x:v>1</x:v>
      </x:c>
      <x:c r="P11" s="16" t="b">
        <x:f>IFERROR(VLOOKUP(A11,States!$A$2:$B$18,2,FALSE),FALSE)</x:f>
        <x:v>1</x:v>
      </x:c>
      <x:c r="Q11" s="16" t="b">
        <x:f>AND(OR(O11=TRUE,O11="TRUE"),OR(P11=TRUE,P11="TRUE"))</x:f>
        <x:v>1</x:v>
      </x:c>
    </x:row>
    <x:row r="12">
      <x:c r="A12" s="16" t="str">
        <x:v>New York</x:v>
      </x:c>
      <x:c r="B12" s="16" t="str">
        <x:v>Saratoga Springs</x:v>
      </x:c>
      <x:c r="C12" s="16" t="n">
        <x:v>-73.783</x:v>
      </x:c>
      <x:c r="D12" s="16" t="n">
        <x:v>43.083</x:v>
      </x:c>
      <x:c r="E12" s="16" t="str">
        <x:v>Saratoga Race Course</x:v>
      </x:c>
      <x:c r="F12" s="16" t="str">
        <x:v>Sports fans, architecture fans</x:v>
      </x:c>
      <x:c r="G12" s="16" t="str">
        <x:v>One of America's classic horse-racing venues with summer energy.</x:v>
      </x:c>
      <x:c r="H12" s="16" t="str">
        <x:v>Sports</x:v>
      </x:c>
      <x:c r="I12" s="16" t="str">
        <x:v>https://www.google.com/search?q=Saratoga%20Race%20Course%20Saratoga%20Springs%20New%20York%20official%20website</x:v>
      </x:c>
      <x:c r="J12" s="16" t="str">
        <x:v>https://www.google.com/search?q=site%3Ailoveny.com%20Saratoga%20Race%20Course</x:v>
      </x:c>
      <x:c r="K12" s="16" t="str">
        <x:v>https://www.google.com/search?q=Saratoga%20Race%20Course%20Saratoga%20Springs%20New%20York%20visitor%20information</x:v>
      </x:c>
      <x:c r="L12" s="16" t="str">
        <x:v>https://www.google.com/search?q=Saratoga%20Race%20Course%20Saratoga%20Springs%20New%20York%20photos</x:v>
      </x:c>
      <x:c r="M12" s="16" t="str">
        <x:v>https://www.google.com/search?q=Saratoga%20Race%20Course%20Saratoga%20Springs%20New%20York%20wikipedia%20OR%20wikivoyage</x:v>
      </x:c>
      <x:c r="N12" s="16" t="str">
        <x:v>https://www.google.com/maps/search/?api=1&amp;query=Saratoga%20Race%20Course%2C%20Saratoga%20Springs%2C%20New%20York</x:v>
      </x:c>
      <x:c r="O12" s="17" t="b">
        <x:v>1</x:v>
      </x:c>
      <x:c r="P12" s="16" t="b">
        <x:f>IFERROR(VLOOKUP(A12,States!$A$2:$B$18,2,FALSE),FALSE)</x:f>
        <x:v>1</x:v>
      </x:c>
      <x:c r="Q12" s="16" t="b">
        <x:f>AND(OR(O12=TRUE,O12="TRUE"),OR(P12=TRUE,P12="TRUE"))</x:f>
        <x:v>1</x:v>
      </x:c>
    </x:row>
    <x:row r="13">
      <x:c r="A13" s="16" t="str">
        <x:v>New York</x:v>
      </x:c>
      <x:c r="B13" s="16" t="str">
        <x:v>Cooperstown</x:v>
      </x:c>
      <x:c r="C13" s="16" t="n">
        <x:v>-74.923</x:v>
      </x:c>
      <x:c r="D13" s="16" t="n">
        <x:v>42.7</x:v>
      </x:c>
      <x:c r="E13" s="16" t="str">
        <x:v>National Baseball Hall of Fame</x:v>
      </x:c>
      <x:c r="F13" s="16" t="str">
        <x:v>Baseball fans, families</x:v>
      </x:c>
      <x:c r="G13" s="16" t="str">
        <x:v>A pilgrimage stop for baseball history, artifacts, and legends.</x:v>
      </x:c>
      <x:c r="H13" s="16" t="str">
        <x:v>Museum</x:v>
      </x:c>
      <x:c r="I13" s="16" t="str">
        <x:v>https://www.google.com/search?q=National%20Baseball%20Hall%20of%20Fame%20Cooperstown%20New%20York%20official%20website</x:v>
      </x:c>
      <x:c r="J13" s="16" t="str">
        <x:v>https://www.google.com/search?q=site%3Ailoveny.com%20National%20Baseball%20Hall%20of%20Fame</x:v>
      </x:c>
      <x:c r="K13" s="16" t="str">
        <x:v>https://www.google.com/search?q=National%20Baseball%20Hall%20of%20Fame%20Cooperstown%20New%20York%20visitor%20information</x:v>
      </x:c>
      <x:c r="L13" s="16" t="str">
        <x:v>https://www.google.com/search?q=National%20Baseball%20Hall%20of%20Fame%20Cooperstown%20New%20York%20photos</x:v>
      </x:c>
      <x:c r="M13" s="16" t="str">
        <x:v>https://www.google.com/search?q=National%20Baseball%20Hall%20of%20Fame%20Cooperstown%20New%20York%20wikipedia%20OR%20wikivoyage</x:v>
      </x:c>
      <x:c r="N13" s="16" t="str">
        <x:v>https://www.google.com/maps/search/?api=1&amp;query=National%20Baseball%20Hall%20of%20Fame%2C%20Cooperstown%2C%20New%20York</x:v>
      </x:c>
      <x:c r="O13" s="17" t="b">
        <x:v>1</x:v>
      </x:c>
      <x:c r="P13" s="16" t="b">
        <x:f>IFERROR(VLOOKUP(A13,States!$A$2:$B$18,2,FALSE),FALSE)</x:f>
        <x:v>1</x:v>
      </x:c>
      <x:c r="Q13" s="16" t="b">
        <x:f>AND(OR(O13=TRUE,O13="TRUE"),OR(P13=TRUE,P13="TRUE"))</x:f>
        <x:v>1</x:v>
      </x:c>
    </x:row>
    <x:row r="14">
      <x:c r="A14" s="16" t="str">
        <x:v>New York</x:v>
      </x:c>
      <x:c r="B14" s="16" t="str">
        <x:v>Poughkeepsie</x:v>
      </x:c>
      <x:c r="C14" s="16" t="n">
        <x:v>-73.952</x:v>
      </x:c>
      <x:c r="D14" s="16" t="n">
        <x:v>41.711</x:v>
      </x:c>
      <x:c r="E14" s="16" t="str">
        <x:v>Walkway Over the Hudson</x:v>
      </x:c>
      <x:c r="F14" s="16" t="str">
        <x:v>Walkers, cyclists, families</x:v>
      </x:c>
      <x:c r="G14" s="16" t="str">
        <x:v>A high rail bridge offers sweeping Hudson River views.</x:v>
      </x:c>
      <x:c r="H14" s="16" t="str">
        <x:v>Trail</x:v>
      </x:c>
      <x:c r="I14" s="16" t="str">
        <x:v>https://www.google.com/search?q=Walkway%20Over%20the%20Hudson%20Poughkeepsie%20New%20York%20official%20website</x:v>
      </x:c>
      <x:c r="J14" s="16" t="str">
        <x:v>https://www.google.com/search?q=site%3Ailoveny.com%20Walkway%20Over%20the%20Hudson</x:v>
      </x:c>
      <x:c r="K14" s="16" t="str">
        <x:v>https://www.google.com/search?q=Walkway%20Over%20the%20Hudson%20Poughkeepsie%20New%20York%20visitor%20information</x:v>
      </x:c>
      <x:c r="L14" s="16" t="str">
        <x:v>https://www.google.com/search?q=Walkway%20Over%20the%20Hudson%20Poughkeepsie%20New%20York%20photos</x:v>
      </x:c>
      <x:c r="M14" s="16" t="str">
        <x:v>https://www.google.com/search?q=Walkway%20Over%20the%20Hudson%20Poughkeepsie%20New%20York%20wikipedia%20OR%20wikivoyage</x:v>
      </x:c>
      <x:c r="N14" s="16" t="str">
        <x:v>https://www.google.com/maps/search/?api=1&amp;query=Walkway%20Over%20the%20Hudson%2C%20Poughkeepsie%2C%20New%20York</x:v>
      </x:c>
      <x:c r="O14" s="17" t="b">
        <x:v>1</x:v>
      </x:c>
      <x:c r="P14" s="16" t="b">
        <x:f>IFERROR(VLOOKUP(A14,States!$A$2:$B$18,2,FALSE),FALSE)</x:f>
        <x:v>1</x:v>
      </x:c>
      <x:c r="Q14" s="16" t="b">
        <x:f>AND(OR(O14=TRUE,O14="TRUE"),OR(P14=TRUE,P14="TRUE"))</x:f>
        <x:v>1</x:v>
      </x:c>
    </x:row>
    <x:row r="15">
      <x:c r="A15" s="16" t="str">
        <x:v>New York</x:v>
      </x:c>
      <x:c r="B15" s="16" t="str">
        <x:v>New Windsor</x:v>
      </x:c>
      <x:c r="C15" s="16" t="n">
        <x:v>-74.063</x:v>
      </x:c>
      <x:c r="D15" s="16" t="n">
        <x:v>41.424</x:v>
      </x:c>
      <x:c r="E15" s="16" t="str">
        <x:v>Storm King Art Center</x:v>
      </x:c>
      <x:c r="F15" s="16" t="str">
        <x:v>Art lovers, design-minded travelers</x:v>
      </x:c>
      <x:c r="G15" s="16" t="str">
        <x:v>Large-scale sculpture sits across open fields and wooded hills.</x:v>
      </x:c>
      <x:c r="H15" s="16" t="str">
        <x:v>Arts/Culture</x:v>
      </x:c>
      <x:c r="I15" s="16" t="str">
        <x:v>https://www.google.com/search?q=Storm%20King%20Art%20Center%20New%20Windsor%20New%20York%20official%20website</x:v>
      </x:c>
      <x:c r="J15" s="16" t="str">
        <x:v>https://www.google.com/search?q=site%3Ailoveny.com%20Storm%20King%20Art%20Center</x:v>
      </x:c>
      <x:c r="K15" s="16" t="str">
        <x:v>https://www.google.com/search?q=Storm%20King%20Art%20Center%20New%20Windsor%20New%20York%20visitor%20information</x:v>
      </x:c>
      <x:c r="L15" s="16" t="str">
        <x:v>https://www.google.com/search?q=Storm%20King%20Art%20Center%20New%20Windsor%20New%20York%20photos</x:v>
      </x:c>
      <x:c r="M15" s="16" t="str">
        <x:v>https://www.google.com/search?q=Storm%20King%20Art%20Center%20New%20Windsor%20New%20York%20wikipedia%20OR%20wikivoyage</x:v>
      </x:c>
      <x:c r="N15" s="16" t="str">
        <x:v>https://www.google.com/maps/search/?api=1&amp;query=Storm%20King%20Art%20Center%2C%20New%20Windsor%2C%20New%20York</x:v>
      </x:c>
      <x:c r="O15" s="17" t="b">
        <x:v>1</x:v>
      </x:c>
      <x:c r="P15" s="16" t="b">
        <x:f>IFERROR(VLOOKUP(A15,States!$A$2:$B$18,2,FALSE),FALSE)</x:f>
        <x:v>1</x:v>
      </x:c>
      <x:c r="Q15" s="16" t="b">
        <x:f>AND(OR(O15=TRUE,O15="TRUE"),OR(P15=TRUE,P15="TRUE"))</x:f>
        <x:v>1</x:v>
      </x:c>
    </x:row>
    <x:row r="16">
      <x:c r="A16" s="16" t="str">
        <x:v>New York</x:v>
      </x:c>
      <x:c r="B16" s="16" t="str">
        <x:v>West Point</x:v>
      </x:c>
      <x:c r="C16" s="16" t="n">
        <x:v>-73.956</x:v>
      </x:c>
      <x:c r="D16" s="16" t="n">
        <x:v>41.391</x:v>
      </x:c>
      <x:c r="E16" s="16" t="str">
        <x:v>West Point and U.S. Military Academy</x:v>
      </x:c>
      <x:c r="F16" s="16" t="str">
        <x:v>History buffs, military families</x:v>
      </x:c>
      <x:c r="G16" s="16" t="str">
        <x:v>Historic grounds overlook the Hudson and tell national military stories.</x:v>
      </x:c>
      <x:c r="H16" s="16" t="str">
        <x:v>Historic Site</x:v>
      </x:c>
      <x:c r="I16" s="16" t="str">
        <x:v>https://www.google.com/search?q=West%20Point%20and%20U.S.%20Military%20Academy%20West%20Point%20New%20York%20official%20website</x:v>
      </x:c>
      <x:c r="J16" s="16" t="str">
        <x:v>https://www.google.com/search?q=site%3Ailoveny.com%20West%20Point%20and%20U.S.%20Military%20Academy</x:v>
      </x:c>
      <x:c r="K16" s="16" t="str">
        <x:v>https://www.google.com/search?q=West%20Point%20and%20U.S.%20Military%20Academy%20West%20Point%20New%20York%20visitor%20information</x:v>
      </x:c>
      <x:c r="L16" s="16" t="str">
        <x:v>https://www.google.com/search?q=West%20Point%20and%20U.S.%20Military%20Academy%20West%20Point%20New%20York%20photos</x:v>
      </x:c>
      <x:c r="M16" s="16" t="str">
        <x:v>https://www.google.com/search?q=West%20Point%20and%20U.S.%20Military%20Academy%20West%20Point%20New%20York%20wikipedia%20OR%20wikivoyage</x:v>
      </x:c>
      <x:c r="N16" s="16" t="str">
        <x:v>https://www.google.com/maps/search/?api=1&amp;query=West%20Point%20and%20U.S.%20Military%20Academy%2C%20West%20Point%2C%20New%20York</x:v>
      </x:c>
      <x:c r="O16" s="17" t="b">
        <x:v>1</x:v>
      </x:c>
      <x:c r="P16" s="16" t="b">
        <x:f>IFERROR(VLOOKUP(A16,States!$A$2:$B$18,2,FALSE),FALSE)</x:f>
        <x:v>1</x:v>
      </x:c>
      <x:c r="Q16" s="16" t="b">
        <x:f>AND(OR(O16=TRUE,O16="TRUE"),OR(P16=TRUE,P16="TRUE"))</x:f>
        <x:v>1</x:v>
      </x:c>
    </x:row>
    <x:row r="17">
      <x:c r="A17" s="16" t="str">
        <x:v>New York</x:v>
      </x:c>
      <x:c r="B17" s="16" t="str">
        <x:v>Ithaca</x:v>
      </x:c>
      <x:c r="C17" s="16" t="n">
        <x:v>-76.536</x:v>
      </x:c>
      <x:c r="D17" s="16" t="n">
        <x:v>42.452</x:v>
      </x:c>
      <x:c r="E17" s="16" t="str">
        <x:v>Museum of the Earth</x:v>
      </x:c>
      <x:c r="F17" s="16" t="str">
        <x:v>Families, science fans</x:v>
      </x:c>
      <x:c r="G17" s="16" t="str">
        <x:v>Fossils and geology exhibits connect New York to deep time.</x:v>
      </x:c>
      <x:c r="H17" s="16" t="str">
        <x:v>Science</x:v>
      </x:c>
      <x:c r="I17" s="16" t="str">
        <x:v>https://www.google.com/search?q=Museum%20of%20the%20Earth%20Ithaca%20New%20York%20official%20website</x:v>
      </x:c>
      <x:c r="J17" s="16" t="str">
        <x:v>https://www.google.com/search?q=site%3Ailoveny.com%20Museum%20of%20the%20Earth</x:v>
      </x:c>
      <x:c r="K17" s="16" t="str">
        <x:v>https://www.google.com/search?q=Museum%20of%20the%20Earth%20Ithaca%20New%20York%20visitor%20information</x:v>
      </x:c>
      <x:c r="L17" s="16" t="str">
        <x:v>https://www.google.com/search?q=Museum%20of%20the%20Earth%20Ithaca%20New%20York%20photos</x:v>
      </x:c>
      <x:c r="M17" s="16" t="str">
        <x:v>https://www.google.com/search?q=Museum%20of%20the%20Earth%20Ithaca%20New%20York%20wikipedia%20OR%20wikivoyage</x:v>
      </x:c>
      <x:c r="N17" s="16" t="str">
        <x:v>https://www.google.com/maps/search/?api=1&amp;query=Museum%20of%20the%20Earth%2C%20Ithaca%2C%20New%20York</x:v>
      </x:c>
      <x:c r="O17" s="17" t="b">
        <x:v>1</x:v>
      </x:c>
      <x:c r="P17" s="16" t="b">
        <x:f>IFERROR(VLOOKUP(A17,States!$A$2:$B$18,2,FALSE),FALSE)</x:f>
        <x:v>1</x:v>
      </x:c>
      <x:c r="Q17" s="16" t="b">
        <x:f>AND(OR(O17=TRUE,O17="TRUE"),OR(P17=TRUE,P17="TRUE"))</x:f>
        <x:v>1</x:v>
      </x:c>
    </x:row>
    <x:row r="18">
      <x:c r="A18" s="16" t="str">
        <x:v>New York</x:v>
      </x:c>
      <x:c r="B18" s="16" t="str">
        <x:v>Trumansburg</x:v>
      </x:c>
      <x:c r="C18" s="16" t="n">
        <x:v>-76.608</x:v>
      </x:c>
      <x:c r="D18" s="16" t="n">
        <x:v>42.538</x:v>
      </x:c>
      <x:c r="E18" s="16" t="str">
        <x:v>Taughannock Falls State Park</x:v>
      </x:c>
      <x:c r="F18" s="16" t="str">
        <x:v>Families, hikers, waterfall fans</x:v>
      </x:c>
      <x:c r="G18" s="16" t="str">
        <x:v>A tall waterfall drops through a Finger Lakes gorge.</x:v>
      </x:c>
      <x:c r="H18" s="16" t="str">
        <x:v>Nature</x:v>
      </x:c>
      <x:c r="I18" s="16" t="str">
        <x:v>https://www.google.com/search?q=Taughannock%20Falls%20State%20Park%20Trumansburg%20New%20York%20official%20website</x:v>
      </x:c>
      <x:c r="J18" s="16" t="str">
        <x:v>https://www.google.com/search?q=site%3Ailoveny.com%20Taughannock%20Falls%20State%20Park</x:v>
      </x:c>
      <x:c r="K18" s="16" t="str">
        <x:v>https://www.google.com/search?q=Taughannock%20Falls%20State%20Park%20Trumansburg%20New%20York%20visitor%20information</x:v>
      </x:c>
      <x:c r="L18" s="16" t="str">
        <x:v>https://www.google.com/search?q=Taughannock%20Falls%20State%20Park%20Trumansburg%20New%20York%20photos</x:v>
      </x:c>
      <x:c r="M18" s="16" t="str">
        <x:v>https://www.google.com/search?q=Taughannock%20Falls%20State%20Park%20Trumansburg%20New%20York%20wikipedia%20OR%20wikivoyage</x:v>
      </x:c>
      <x:c r="N18" s="16" t="str">
        <x:v>https://www.google.com/maps/search/?api=1&amp;query=Taughannock%20Falls%20State%20Park%2C%20Trumansburg%2C%20New%20York</x:v>
      </x:c>
      <x:c r="O18" s="17" t="b">
        <x:v>1</x:v>
      </x:c>
      <x:c r="P18" s="16" t="b">
        <x:f>IFERROR(VLOOKUP(A18,States!$A$2:$B$18,2,FALSE),FALSE)</x:f>
        <x:v>1</x:v>
      </x:c>
      <x:c r="Q18" s="16" t="b">
        <x:f>AND(OR(O18=TRUE,O18="TRUE"),OR(P18=TRUE,P18="TRUE"))</x:f>
        <x:v>1</x:v>
      </x:c>
    </x:row>
    <x:row r="19">
      <x:c r="A19" s="16" t="str">
        <x:v>New York</x:v>
      </x:c>
      <x:c r="B19" s="16" t="str">
        <x:v>Seneca Lake</x:v>
      </x:c>
      <x:c r="C19" s="16" t="n">
        <x:v>-76.922</x:v>
      </x:c>
      <x:c r="D19" s="16" t="n">
        <x:v>42.515</x:v>
      </x:c>
      <x:c r="E19" s="16" t="str">
        <x:v>Seneca Lake Wine Trail</x:v>
      </x:c>
      <x:c r="F19" s="16" t="str">
        <x:v>Adults, food lovers, scenic drivers</x:v>
      </x:c>
      <x:c r="G19" s="16" t="str">
        <x:v>Lake views and wineries create an easy Finger Lakes loop.</x:v>
      </x:c>
      <x:c r="H19" s="16" t="str">
        <x:v>Food/Drink</x:v>
      </x:c>
      <x:c r="I19" s="16" t="str">
        <x:v>https://www.google.com/search?q=Seneca%20Lake%20Wine%20Trail%20Seneca%20Lake%20New%20York%20official%20website</x:v>
      </x:c>
      <x:c r="J19" s="16" t="str">
        <x:v>https://www.google.com/search?q=site%3Ailoveny.com%20Seneca%20Lake%20Wine%20Trail</x:v>
      </x:c>
      <x:c r="K19" s="16" t="str">
        <x:v>https://www.google.com/search?q=Seneca%20Lake%20Wine%20Trail%20Seneca%20Lake%20New%20York%20visitor%20information</x:v>
      </x:c>
      <x:c r="L19" s="16" t="str">
        <x:v>https://www.google.com/search?q=Seneca%20Lake%20Wine%20Trail%20Seneca%20Lake%20New%20York%20photos</x:v>
      </x:c>
      <x:c r="M19" s="16" t="str">
        <x:v>https://www.google.com/search?q=Seneca%20Lake%20Wine%20Trail%20Seneca%20Lake%20New%20York%20wikipedia%20OR%20wikivoyage</x:v>
      </x:c>
      <x:c r="N19" s="16" t="str">
        <x:v>https://www.google.com/maps/search/?api=1&amp;query=Seneca%20Lake%20Wine%20Trail%2C%20Seneca%20Lake%2C%20New%20York</x:v>
      </x:c>
      <x:c r="O19" s="17" t="b">
        <x:v>1</x:v>
      </x:c>
      <x:c r="P19" s="16" t="b">
        <x:f>IFERROR(VLOOKUP(A19,States!$A$2:$B$18,2,FALSE),FALSE)</x:f>
        <x:v>1</x:v>
      </x:c>
      <x:c r="Q19" s="16" t="b">
        <x:f>AND(OR(O19=TRUE,O19="TRUE"),OR(P19=TRUE,P19="TRUE"))</x:f>
        <x:v>1</x:v>
      </x:c>
    </x:row>
    <x:row r="20">
      <x:c r="A20" s="16" t="str">
        <x:v>New York</x:v>
      </x:c>
      <x:c r="B20" s="16" t="str">
        <x:v>Saranac Lake</x:v>
      </x:c>
      <x:c r="C20" s="16" t="n">
        <x:v>-74.131</x:v>
      </x:c>
      <x:c r="D20" s="16" t="n">
        <x:v>44.329</x:v>
      </x:c>
      <x:c r="E20" s="16" t="str">
        <x:v>Saranac Lake and Adirondack Villages</x:v>
      </x:c>
      <x:c r="F20" s="16" t="str">
        <x:v>Outdoor travelers, families</x:v>
      </x:c>
      <x:c r="G20" s="16" t="str">
        <x:v>Small-town Adirondack character anchors paddling, hiking, and winter trips.</x:v>
      </x:c>
      <x:c r="H20" s="16" t="str">
        <x:v>Scenic Town</x:v>
      </x:c>
      <x:c r="I20" s="16" t="str">
        <x:v>https://www.google.com/search?q=Saranac%20Lake%20and%20Adirondack%20Villages%20Saranac%20Lake%20New%20York%20official%20website</x:v>
      </x:c>
      <x:c r="J20" s="16" t="str">
        <x:v>https://www.google.com/search?q=site%3Ailoveny.com%20Saranac%20Lake%20and%20Adirondack%20Villages</x:v>
      </x:c>
      <x:c r="K20" s="16" t="str">
        <x:v>https://www.google.com/search?q=Saranac%20Lake%20and%20Adirondack%20Villages%20Saranac%20Lake%20New%20York%20visitor%20information</x:v>
      </x:c>
      <x:c r="L20" s="16" t="str">
        <x:v>https://www.google.com/search?q=Saranac%20Lake%20and%20Adirondack%20Villages%20Saranac%20Lake%20New%20York%20photos</x:v>
      </x:c>
      <x:c r="M20" s="16" t="str">
        <x:v>https://www.google.com/search?q=Saranac%20Lake%20and%20Adirondack%20Villages%20Saranac%20Lake%20New%20York%20wikipedia%20OR%20wikivoyage</x:v>
      </x:c>
      <x:c r="N20" s="16" t="str">
        <x:v>https://www.google.com/maps/search/?api=1&amp;query=Saranac%20Lake%20and%20Adirondack%20Villages%2C%20Saranac%20Lake%2C%20New%20York</x:v>
      </x:c>
      <x:c r="O20" s="17" t="b">
        <x:v>1</x:v>
      </x:c>
      <x:c r="P20" s="16" t="b">
        <x:f>IFERROR(VLOOKUP(A20,States!$A$2:$B$18,2,FALSE),FALSE)</x:f>
        <x:v>1</x:v>
      </x:c>
      <x:c r="Q20" s="16" t="b">
        <x:f>AND(OR(O20=TRUE,O20="TRUE"),OR(P20=TRUE,P20="TRUE"))</x:f>
        <x:v>1</x:v>
      </x:c>
    </x:row>
    <x:row r="21">
      <x:c r="A21" s="16" t="str">
        <x:v>New York</x:v>
      </x:c>
      <x:c r="B21" s="16" t="str">
        <x:v>Chautauqua</x:v>
      </x:c>
      <x:c r="C21" s="16" t="n">
        <x:v>-79.466</x:v>
      </x:c>
      <x:c r="D21" s="16" t="n">
        <x:v>42.209</x:v>
      </x:c>
      <x:c r="E21" s="16" t="str">
        <x:v>Chautauqua Institution</x:v>
      </x:c>
      <x:c r="F21" s="16" t="str">
        <x:v>Culture travelers, families</x:v>
      </x:c>
      <x:c r="G21" s="16" t="str">
        <x:v>A lakeside campus blends lectures, music, faith, and summer programs.</x:v>
      </x:c>
      <x:c r="H21" s="16" t="str">
        <x:v>Arts/Culture</x:v>
      </x:c>
      <x:c r="I21" s="16" t="str">
        <x:v>https://www.google.com/search?q=Chautauqua%20Institution%20Chautauqua%20New%20York%20official%20website</x:v>
      </x:c>
      <x:c r="J21" s="16" t="str">
        <x:v>https://www.google.com/search?q=site%3Ailoveny.com%20Chautauqua%20Institution</x:v>
      </x:c>
      <x:c r="K21" s="16" t="str">
        <x:v>https://www.google.com/search?q=Chautauqua%20Institution%20Chautauqua%20New%20York%20visitor%20information</x:v>
      </x:c>
      <x:c r="L21" s="16" t="str">
        <x:v>https://www.google.com/search?q=Chautauqua%20Institution%20Chautauqua%20New%20York%20photos</x:v>
      </x:c>
      <x:c r="M21" s="16" t="str">
        <x:v>https://www.google.com/search?q=Chautauqua%20Institution%20Chautauqua%20New%20York%20wikipedia%20OR%20wikivoyage</x:v>
      </x:c>
      <x:c r="N21" s="16" t="str">
        <x:v>https://www.google.com/maps/search/?api=1&amp;query=Chautauqua%20Institution%2C%20Chautauqua%2C%20New%20York</x:v>
      </x:c>
      <x:c r="O21" s="17" t="b">
        <x:v>1</x:v>
      </x:c>
      <x:c r="P21" s="16" t="b">
        <x:f>IFERROR(VLOOKUP(A21,States!$A$2:$B$18,2,FALSE),FALSE)</x:f>
        <x:v>1</x:v>
      </x:c>
      <x:c r="Q21" s="16" t="b">
        <x:f>AND(OR(O21=TRUE,O21="TRUE"),OR(P21=TRUE,P21="TRUE"))</x:f>
        <x:v>1</x:v>
      </x:c>
    </x:row>
    <x:row r="22">
      <x:c r="A22" s="16" t="str">
        <x:v>Pennsylvania</x:v>
      </x:c>
      <x:c r="B22" s="16" t="str">
        <x:v>Gettysburg</x:v>
      </x:c>
      <x:c r="C22" s="16" t="n">
        <x:v>-77.231</x:v>
      </x:c>
      <x:c r="D22" s="16" t="n">
        <x:v>39.83</x:v>
      </x:c>
      <x:c r="E22" s="16" t="str">
        <x:v>Gettysburg National Military Park</x:v>
      </x:c>
      <x:c r="F22" s="16" t="str">
        <x:v>History buffs, students, families</x:v>
      </x:c>
      <x:c r="G22" s="16" t="str">
        <x:v>The battlefield preserves a pivotal Civil War turning point.</x:v>
      </x:c>
      <x:c r="H22" s="16" t="str">
        <x:v>Historic Site</x:v>
      </x:c>
      <x:c r="I22" s="16" t="str">
        <x:v>https://www.google.com/search?q=Gettysburg%20National%20Military%20Park%20Gettysburg%20Pennsylvania%20official%20website</x:v>
      </x:c>
      <x:c r="J22" s="16" t="str">
        <x:v>https://www.google.com/search?q=site%3Avisitpa.com%20Gettysburg%20National%20Military%20Park</x:v>
      </x:c>
      <x:c r="K22" s="16" t="str">
        <x:v>https://www.google.com/search?q=Gettysburg%20National%20Military%20Park%20Gettysburg%20Pennsylvania%20visitor%20information</x:v>
      </x:c>
      <x:c r="L22" s="16" t="str">
        <x:v>https://www.google.com/search?q=Gettysburg%20National%20Military%20Park%20Gettysburg%20Pennsylvania%20photos</x:v>
      </x:c>
      <x:c r="M22" s="16" t="str">
        <x:v>https://www.google.com/search?q=Gettysburg%20National%20Military%20Park%20Gettysburg%20Pennsylvania%20wikipedia%20OR%20wikivoyage</x:v>
      </x:c>
      <x:c r="N22" s="16" t="str">
        <x:v>https://www.google.com/maps/search/?api=1&amp;query=Gettysburg%20National%20Military%20Park%2C%20Gettysburg%2C%20Pennsylvania</x:v>
      </x:c>
      <x:c r="O22" s="17" t="b">
        <x:v>1</x:v>
      </x:c>
      <x:c r="P22" s="16" t="b">
        <x:f>IFERROR(VLOOKUP(A22,States!$A$2:$B$18,2,FALSE),FALSE)</x:f>
        <x:v>1</x:v>
      </x:c>
      <x:c r="Q22" s="16" t="b">
        <x:f>AND(OR(O22=TRUE,O22="TRUE"),OR(P22=TRUE,P22="TRUE"))</x:f>
        <x:v>1</x:v>
      </x:c>
    </x:row>
    <x:row r="23">
      <x:c r="A23" s="16" t="str">
        <x:v>Pennsylvania</x:v>
      </x:c>
      <x:c r="B23" s="16" t="str">
        <x:v>Hershey</x:v>
      </x:c>
      <x:c r="C23" s="16" t="n">
        <x:v>-76.658</x:v>
      </x:c>
      <x:c r="D23" s="16" t="n">
        <x:v>40.288</x:v>
      </x:c>
      <x:c r="E23" s="16" t="str">
        <x:v>Hersheypark</x:v>
      </x:c>
      <x:c r="F23" s="16" t="str">
        <x:v>Families, thrill seekers</x:v>
      </x:c>
      <x:c r="G23" s="16" t="str">
        <x:v>Coasters, chocolate theming, and water attractions make it a classic stop.</x:v>
      </x:c>
      <x:c r="H23" s="16" t="str">
        <x:v>Theme Park</x:v>
      </x:c>
      <x:c r="I23" s="16" t="str">
        <x:v>https://www.google.com/search?q=Hersheypark%20Hershey%20Pennsylvania%20official%20website</x:v>
      </x:c>
      <x:c r="J23" s="16" t="str">
        <x:v>https://www.google.com/search?q=site%3Avisitpa.com%20Hersheypark</x:v>
      </x:c>
      <x:c r="K23" s="16" t="str">
        <x:v>https://www.google.com/search?q=Hersheypark%20Hershey%20Pennsylvania%20visitor%20information</x:v>
      </x:c>
      <x:c r="L23" s="16" t="str">
        <x:v>https://www.google.com/search?q=Hersheypark%20Hershey%20Pennsylvania%20photos</x:v>
      </x:c>
      <x:c r="M23" s="16" t="str">
        <x:v>https://www.google.com/search?q=Hersheypark%20Hershey%20Pennsylvania%20wikipedia%20OR%20wikivoyage</x:v>
      </x:c>
      <x:c r="N23" s="16" t="str">
        <x:v>https://www.google.com/maps/search/?api=1&amp;query=Hersheypark%2C%20Hershey%2C%20Pennsylvania</x:v>
      </x:c>
      <x:c r="O23" s="17" t="b">
        <x:v>1</x:v>
      </x:c>
      <x:c r="P23" s="16" t="b">
        <x:f>IFERROR(VLOOKUP(A23,States!$A$2:$B$18,2,FALSE),FALSE)</x:f>
        <x:v>1</x:v>
      </x:c>
      <x:c r="Q23" s="16" t="b">
        <x:f>AND(OR(O23=TRUE,O23="TRUE"),OR(P23=TRUE,P23="TRUE"))</x:f>
        <x:v>1</x:v>
      </x:c>
    </x:row>
    <x:row r="24">
      <x:c r="A24" s="16" t="str">
        <x:v>Pennsylvania</x:v>
      </x:c>
      <x:c r="B24" s="16" t="str">
        <x:v>Mill Run</x:v>
      </x:c>
      <x:c r="C24" s="16" t="n">
        <x:v>-79.466</x:v>
      </x:c>
      <x:c r="D24" s="16" t="n">
        <x:v>39.901</x:v>
      </x:c>
      <x:c r="E24" s="16" t="str">
        <x:v>Fallingwater</x:v>
      </x:c>
      <x:c r="F24" s="16" t="str">
        <x:v>Architecture fans, design travelers</x:v>
      </x:c>
      <x:c r="G24" s="16" t="str">
        <x:v>Frank Lloyd Wright's house dramatically spans a waterfall.</x:v>
      </x:c>
      <x:c r="H24" s="16" t="str">
        <x:v>Architecture</x:v>
      </x:c>
      <x:c r="I24" s="16" t="str">
        <x:v>https://www.google.com/search?q=Fallingwater%20Mill%20Run%20Pennsylvania%20official%20website</x:v>
      </x:c>
      <x:c r="J24" s="16" t="str">
        <x:v>https://www.google.com/search?q=site%3Avisitpa.com%20Fallingwater</x:v>
      </x:c>
      <x:c r="K24" s="16" t="str">
        <x:v>https://www.google.com/search?q=Fallingwater%20Mill%20Run%20Pennsylvania%20visitor%20information</x:v>
      </x:c>
      <x:c r="L24" s="16" t="str">
        <x:v>https://www.google.com/search?q=Fallingwater%20Mill%20Run%20Pennsylvania%20photos</x:v>
      </x:c>
      <x:c r="M24" s="16" t="str">
        <x:v>https://www.google.com/search?q=Fallingwater%20Mill%20Run%20Pennsylvania%20wikipedia%20OR%20wikivoyage</x:v>
      </x:c>
      <x:c r="N24" s="16" t="str">
        <x:v>https://www.google.com/maps/search/?api=1&amp;query=Fallingwater%2C%20Mill%20Run%2C%20Pennsylvania</x:v>
      </x:c>
      <x:c r="O24" s="17" t="b">
        <x:v>1</x:v>
      </x:c>
      <x:c r="P24" s="16" t="b">
        <x:f>IFERROR(VLOOKUP(A24,States!$A$2:$B$18,2,FALSE),FALSE)</x:f>
        <x:v>1</x:v>
      </x:c>
      <x:c r="Q24" s="16" t="b">
        <x:f>AND(OR(O24=TRUE,O24="TRUE"),OR(P24=TRUE,P24="TRUE"))</x:f>
        <x:v>1</x:v>
      </x:c>
    </x:row>
    <x:row r="25">
      <x:c r="A25" s="16" t="str">
        <x:v>Pennsylvania</x:v>
      </x:c>
      <x:c r="B25" s="16" t="str">
        <x:v>Philadelphia</x:v>
      </x:c>
      <x:c r="C25" s="16" t="n">
        <x:v>-75.15</x:v>
      </x:c>
      <x:c r="D25" s="16" t="n">
        <x:v>39.949</x:v>
      </x:c>
      <x:c r="E25" s="16" t="str">
        <x:v>Independence Hall</x:v>
      </x:c>
      <x:c r="F25" s="16" t="str">
        <x:v>History buffs, families, students</x:v>
      </x:c>
      <x:c r="G25" s="16" t="str">
        <x:v>A foundational American site where the Declaration and Constitution were debated.</x:v>
      </x:c>
      <x:c r="H25" s="16" t="str">
        <x:v>Historic Site</x:v>
      </x:c>
      <x:c r="I25" s="16" t="str">
        <x:v>https://www.google.com/search?q=Independence%20Hall%20Philadelphia%20Pennsylvania%20official%20website</x:v>
      </x:c>
      <x:c r="J25" s="16" t="str">
        <x:v>https://www.google.com/search?q=site%3Avisitpa.com%20Independence%20Hall</x:v>
      </x:c>
      <x:c r="K25" s="16" t="str">
        <x:v>https://www.google.com/search?q=Independence%20Hall%20Philadelphia%20Pennsylvania%20visitor%20information</x:v>
      </x:c>
      <x:c r="L25" s="16" t="str">
        <x:v>https://www.google.com/search?q=Independence%20Hall%20Philadelphia%20Pennsylvania%20photos</x:v>
      </x:c>
      <x:c r="M25" s="16" t="str">
        <x:v>https://www.google.com/search?q=Independence%20Hall%20Philadelphia%20Pennsylvania%20wikipedia%20OR%20wikivoyage</x:v>
      </x:c>
      <x:c r="N25" s="16" t="str">
        <x:v>https://www.google.com/maps/search/?api=1&amp;query=Independence%20Hall%2C%20Philadelphia%2C%20Pennsylvania</x:v>
      </x:c>
      <x:c r="O25" s="17" t="b">
        <x:v>1</x:v>
      </x:c>
      <x:c r="P25" s="16" t="b">
        <x:f>IFERROR(VLOOKUP(A25,States!$A$2:$B$18,2,FALSE),FALSE)</x:f>
        <x:v>1</x:v>
      </x:c>
      <x:c r="Q25" s="16" t="b">
        <x:f>AND(OR(O25=TRUE,O25="TRUE"),OR(P25=TRUE,P25="TRUE"))</x:f>
        <x:v>1</x:v>
      </x:c>
    </x:row>
    <x:row r="26">
      <x:c r="A26" s="16" t="str">
        <x:v>Pennsylvania</x:v>
      </x:c>
      <x:c r="B26" s="16" t="str">
        <x:v>Philadelphia</x:v>
      </x:c>
      <x:c r="C26" s="16" t="n">
        <x:v>-75.181</x:v>
      </x:c>
      <x:c r="D26" s="16" t="n">
        <x:v>39.966</x:v>
      </x:c>
      <x:c r="E26" s="16" t="str">
        <x:v>Philadelphia Museum of Art</x:v>
      </x:c>
      <x:c r="F26" s="16" t="str">
        <x:v>Art lovers, families</x:v>
      </x:c>
      <x:c r="G26" s="16" t="str">
        <x:v>Major collections, landmark steps, and riverfront setting reward a long visit.</x:v>
      </x:c>
      <x:c r="H26" s="16" t="str">
        <x:v>Museum</x:v>
      </x:c>
      <x:c r="I26" s="16" t="str">
        <x:v>https://www.google.com/search?q=Philadelphia%20Museum%20of%20Art%20Philadelphia%20Pennsylvania%20official%20website</x:v>
      </x:c>
      <x:c r="J26" s="16" t="str">
        <x:v>https://www.google.com/search?q=site%3Avisitpa.com%20Philadelphia%20Museum%20of%20Art</x:v>
      </x:c>
      <x:c r="K26" s="16" t="str">
        <x:v>https://www.google.com/search?q=Philadelphia%20Museum%20of%20Art%20Philadelphia%20Pennsylvania%20visitor%20information</x:v>
      </x:c>
      <x:c r="L26" s="16" t="str">
        <x:v>https://www.google.com/search?q=Philadelphia%20Museum%20of%20Art%20Philadelphia%20Pennsylvania%20photos</x:v>
      </x:c>
      <x:c r="M26" s="16" t="str">
        <x:v>https://www.google.com/search?q=Philadelphia%20Museum%20of%20Art%20Philadelphia%20Pennsylvania%20wikipedia%20OR%20wikivoyage</x:v>
      </x:c>
      <x:c r="N26" s="16" t="str">
        <x:v>https://www.google.com/maps/search/?api=1&amp;query=Philadelphia%20Museum%20of%20Art%2C%20Philadelphia%2C%20Pennsylvania</x:v>
      </x:c>
      <x:c r="O26" s="17" t="b">
        <x:v>1</x:v>
      </x:c>
      <x:c r="P26" s="16" t="b">
        <x:f>IFERROR(VLOOKUP(A26,States!$A$2:$B$18,2,FALSE),FALSE)</x:f>
        <x:v>1</x:v>
      </x:c>
      <x:c r="Q26" s="16" t="b">
        <x:f>AND(OR(O26=TRUE,O26="TRUE"),OR(P26=TRUE,P26="TRUE"))</x:f>
        <x:v>1</x:v>
      </x:c>
    </x:row>
    <x:row r="27">
      <x:c r="A27" s="16" t="str">
        <x:v>Pennsylvania</x:v>
      </x:c>
      <x:c r="B27" s="16" t="str">
        <x:v>Philadelphia</x:v>
      </x:c>
      <x:c r="C27" s="16" t="n">
        <x:v>-75.172</x:v>
      </x:c>
      <x:c r="D27" s="16" t="n">
        <x:v>39.968</x:v>
      </x:c>
      <x:c r="E27" s="16" t="str">
        <x:v>Eastern State Penitentiary</x:v>
      </x:c>
      <x:c r="F27" s="16" t="str">
        <x:v>History fans, architecture fans</x:v>
      </x:c>
      <x:c r="G27" s="16" t="str">
        <x:v>A haunting prison complex explores justice, design, and reform.</x:v>
      </x:c>
      <x:c r="H27" s="16" t="str">
        <x:v>Historic Site</x:v>
      </x:c>
      <x:c r="I27" s="16" t="str">
        <x:v>https://www.google.com/search?q=Eastern%20State%20Penitentiary%20Philadelphia%20Pennsylvania%20official%20website</x:v>
      </x:c>
      <x:c r="J27" s="16" t="str">
        <x:v>https://www.google.com/search?q=site%3Avisitpa.com%20Eastern%20State%20Penitentiary</x:v>
      </x:c>
      <x:c r="K27" s="16" t="str">
        <x:v>https://www.google.com/search?q=Eastern%20State%20Penitentiary%20Philadelphia%20Pennsylvania%20visitor%20information</x:v>
      </x:c>
      <x:c r="L27" s="16" t="str">
        <x:v>https://www.google.com/search?q=Eastern%20State%20Penitentiary%20Philadelphia%20Pennsylvania%20photos</x:v>
      </x:c>
      <x:c r="M27" s="16" t="str">
        <x:v>https://www.google.com/search?q=Eastern%20State%20Penitentiary%20Philadelphia%20Pennsylvania%20wikipedia%20OR%20wikivoyage</x:v>
      </x:c>
      <x:c r="N27" s="16" t="str">
        <x:v>https://www.google.com/maps/search/?api=1&amp;query=Eastern%20State%20Penitentiary%2C%20Philadelphia%2C%20Pennsylvania</x:v>
      </x:c>
      <x:c r="O27" s="17" t="b">
        <x:v>1</x:v>
      </x:c>
      <x:c r="P27" s="16" t="b">
        <x:f>IFERROR(VLOOKUP(A27,States!$A$2:$B$18,2,FALSE),FALSE)</x:f>
        <x:v>1</x:v>
      </x:c>
      <x:c r="Q27" s="16" t="b">
        <x:f>AND(OR(O27=TRUE,O27="TRUE"),OR(P27=TRUE,P27="TRUE"))</x:f>
        <x:v>1</x:v>
      </x:c>
    </x:row>
    <x:row r="28">
      <x:c r="A28" s="16" t="str">
        <x:v>Pennsylvania</x:v>
      </x:c>
      <x:c r="B28" s="16" t="str">
        <x:v>Kennett Square</x:v>
      </x:c>
      <x:c r="C28" s="16" t="n">
        <x:v>-75.679</x:v>
      </x:c>
      <x:c r="D28" s="16" t="n">
        <x:v>39.871</x:v>
      </x:c>
      <x:c r="E28" s="16" t="str">
        <x:v>Longwood Gardens</x:v>
      </x:c>
      <x:c r="F28" s="16" t="str">
        <x:v>Garden lovers, families, photographers</x:v>
      </x:c>
      <x:c r="G28" s="16" t="str">
        <x:v>Expansive gardens and conservatories deliver year-round color.</x:v>
      </x:c>
      <x:c r="H28" s="16" t="str">
        <x:v>Garden</x:v>
      </x:c>
      <x:c r="I28" s="16" t="str">
        <x:v>https://www.google.com/search?q=Longwood%20Gardens%20Kennett%20Square%20Pennsylvania%20official%20website</x:v>
      </x:c>
      <x:c r="J28" s="16" t="str">
        <x:v>https://www.google.com/search?q=site%3Avisitpa.com%20Longwood%20Gardens</x:v>
      </x:c>
      <x:c r="K28" s="16" t="str">
        <x:v>https://www.google.com/search?q=Longwood%20Gardens%20Kennett%20Square%20Pennsylvania%20visitor%20information</x:v>
      </x:c>
      <x:c r="L28" s="16" t="str">
        <x:v>https://www.google.com/search?q=Longwood%20Gardens%20Kennett%20Square%20Pennsylvania%20photos</x:v>
      </x:c>
      <x:c r="M28" s="16" t="str">
        <x:v>https://www.google.com/search?q=Longwood%20Gardens%20Kennett%20Square%20Pennsylvania%20wikipedia%20OR%20wikivoyage</x:v>
      </x:c>
      <x:c r="N28" s="16" t="str">
        <x:v>https://www.google.com/maps/search/?api=1&amp;query=Longwood%20Gardens%2C%20Kennett%20Square%2C%20Pennsylvania</x:v>
      </x:c>
      <x:c r="O28" s="17" t="b">
        <x:v>1</x:v>
      </x:c>
      <x:c r="P28" s="16" t="b">
        <x:f>IFERROR(VLOOKUP(A28,States!$A$2:$B$18,2,FALSE),FALSE)</x:f>
        <x:v>1</x:v>
      </x:c>
      <x:c r="Q28" s="16" t="b">
        <x:f>AND(OR(O28=TRUE,O28="TRUE"),OR(P28=TRUE,P28="TRUE"))</x:f>
        <x:v>1</x:v>
      </x:c>
    </x:row>
    <x:row r="29">
      <x:c r="A29" s="16" t="str">
        <x:v>Pennsylvania</x:v>
      </x:c>
      <x:c r="B29" s="16" t="str">
        <x:v>Benton</x:v>
      </x:c>
      <x:c r="C29" s="16" t="n">
        <x:v>-76.306</x:v>
      </x:c>
      <x:c r="D29" s="16" t="n">
        <x:v>41.335</x:v>
      </x:c>
      <x:c r="E29" s="16" t="str">
        <x:v>Ricketts Glen State Park</x:v>
      </x:c>
      <x:c r="F29" s="16" t="str">
        <x:v>Hikers, photographers</x:v>
      </x:c>
      <x:c r="G29" s="16" t="str">
        <x:v>The Falls Trail links many waterfalls in a forested loop.</x:v>
      </x:c>
      <x:c r="H29" s="16" t="str">
        <x:v>Nature</x:v>
      </x:c>
      <x:c r="I29" s="16" t="str">
        <x:v>https://www.google.com/search?q=Ricketts%20Glen%20State%20Park%20Benton%20Pennsylvania%20official%20website</x:v>
      </x:c>
      <x:c r="J29" s="16" t="str">
        <x:v>https://www.google.com/search?q=site%3Avisitpa.com%20Ricketts%20Glen%20State%20Park</x:v>
      </x:c>
      <x:c r="K29" s="16" t="str">
        <x:v>https://www.google.com/search?q=Ricketts%20Glen%20State%20Park%20Benton%20Pennsylvania%20visitor%20information</x:v>
      </x:c>
      <x:c r="L29" s="16" t="str">
        <x:v>https://www.google.com/search?q=Ricketts%20Glen%20State%20Park%20Benton%20Pennsylvania%20photos</x:v>
      </x:c>
      <x:c r="M29" s="16" t="str">
        <x:v>https://www.google.com/search?q=Ricketts%20Glen%20State%20Park%20Benton%20Pennsylvania%20wikipedia%20OR%20wikivoyage</x:v>
      </x:c>
      <x:c r="N29" s="16" t="str">
        <x:v>https://www.google.com/maps/search/?api=1&amp;query=Ricketts%20Glen%20State%20Park%2C%20Benton%2C%20Pennsylvania</x:v>
      </x:c>
      <x:c r="O29" s="17" t="b">
        <x:v>1</x:v>
      </x:c>
      <x:c r="P29" s="16" t="b">
        <x:f>IFERROR(VLOOKUP(A29,States!$A$2:$B$18,2,FALSE),FALSE)</x:f>
        <x:v>1</x:v>
      </x:c>
      <x:c r="Q29" s="16" t="b">
        <x:f>AND(OR(O29=TRUE,O29="TRUE"),OR(P29=TRUE,P29="TRUE"))</x:f>
        <x:v>1</x:v>
      </x:c>
    </x:row>
    <x:row r="30">
      <x:c r="A30" s="16" t="str">
        <x:v>Pennsylvania</x:v>
      </x:c>
      <x:c r="B30" s="16" t="str">
        <x:v>Erie</x:v>
      </x:c>
      <x:c r="C30" s="16" t="n">
        <x:v>-80.099</x:v>
      </x:c>
      <x:c r="D30" s="16" t="n">
        <x:v>42.153</x:v>
      </x:c>
      <x:c r="E30" s="16" t="str">
        <x:v>Presque Isle State Park</x:v>
      </x:c>
      <x:c r="F30" s="16" t="str">
        <x:v>Beachgoers, birders, cyclists</x:v>
      </x:c>
      <x:c r="G30" s="16" t="str">
        <x:v>Lake Erie beaches and lagoons create a northern-coast playground.</x:v>
      </x:c>
      <x:c r="H30" s="16" t="str">
        <x:v>Nature</x:v>
      </x:c>
      <x:c r="I30" s="16" t="str">
        <x:v>https://www.google.com/search?q=Presque%20Isle%20State%20Park%20Erie%20Pennsylvania%20official%20website</x:v>
      </x:c>
      <x:c r="J30" s="16" t="str">
        <x:v>https://www.google.com/search?q=site%3Avisitpa.com%20Presque%20Isle%20State%20Park</x:v>
      </x:c>
      <x:c r="K30" s="16" t="str">
        <x:v>https://www.google.com/search?q=Presque%20Isle%20State%20Park%20Erie%20Pennsylvania%20visitor%20information</x:v>
      </x:c>
      <x:c r="L30" s="16" t="str">
        <x:v>https://www.google.com/search?q=Presque%20Isle%20State%20Park%20Erie%20Pennsylvania%20photos</x:v>
      </x:c>
      <x:c r="M30" s="16" t="str">
        <x:v>https://www.google.com/search?q=Presque%20Isle%20State%20Park%20Erie%20Pennsylvania%20wikipedia%20OR%20wikivoyage</x:v>
      </x:c>
      <x:c r="N30" s="16" t="str">
        <x:v>https://www.google.com/maps/search/?api=1&amp;query=Presque%20Isle%20State%20Park%2C%20Erie%2C%20Pennsylvania</x:v>
      </x:c>
      <x:c r="O30" s="17" t="b">
        <x:v>1</x:v>
      </x:c>
      <x:c r="P30" s="16" t="b">
        <x:f>IFERROR(VLOOKUP(A30,States!$A$2:$B$18,2,FALSE),FALSE)</x:f>
        <x:v>1</x:v>
      </x:c>
      <x:c r="Q30" s="16" t="b">
        <x:f>AND(OR(O30=TRUE,O30="TRUE"),OR(P30=TRUE,P30="TRUE"))</x:f>
        <x:v>1</x:v>
      </x:c>
    </x:row>
    <x:row r="31">
      <x:c r="A31" s="16" t="str">
        <x:v>Pennsylvania</x:v>
      </x:c>
      <x:c r="B31" s="16" t="str">
        <x:v>Pittsburgh</x:v>
      </x:c>
      <x:c r="C31" s="16" t="n">
        <x:v>-79.948</x:v>
      </x:c>
      <x:c r="D31" s="16" t="n">
        <x:v>40.439</x:v>
      </x:c>
      <x:c r="E31" s="16" t="str">
        <x:v>Phipps Conservatory and Botanical Gardens</x:v>
      </x:c>
      <x:c r="F31" s="16" t="str">
        <x:v>Families, garden lovers</x:v>
      </x:c>
      <x:c r="G31" s="16" t="str">
        <x:v>Glasshouse rooms mix seasonal displays, architecture, and plant science.</x:v>
      </x:c>
      <x:c r="H31" s="16" t="str">
        <x:v>Garden</x:v>
      </x:c>
      <x:c r="I31" s="16" t="str">
        <x:v>https://www.google.com/search?q=Phipps%20Conservatory%20and%20Botanical%20Gardens%20Pittsburgh%20Pennsylvania%20official%20website</x:v>
      </x:c>
      <x:c r="J31" s="16" t="str">
        <x:v>https://www.google.com/search?q=site%3Avisitpa.com%20Phipps%20Conservatory%20and%20Botanical%20Gardens</x:v>
      </x:c>
      <x:c r="K31" s="16" t="str">
        <x:v>https://www.google.com/search?q=Phipps%20Conservatory%20and%20Botanical%20Gardens%20Pittsburgh%20Pennsylvania%20visitor%20information</x:v>
      </x:c>
      <x:c r="L31" s="16" t="str">
        <x:v>https://www.google.com/search?q=Phipps%20Conservatory%20and%20Botanical%20Gardens%20Pittsburgh%20Pennsylvania%20photos</x:v>
      </x:c>
      <x:c r="M31" s="16" t="str">
        <x:v>https://www.google.com/search?q=Phipps%20Conservatory%20and%20Botanical%20Gardens%20Pittsburgh%20Pennsylvania%20wikipedia%20OR%20wikivoyage</x:v>
      </x:c>
      <x:c r="N31" s="16" t="str">
        <x:v>https://www.google.com/maps/search/?api=1&amp;query=Phipps%20Conservatory%20and%20Botanical%20Gardens%2C%20Pittsburgh%2C%20Pennsylvania</x:v>
      </x:c>
      <x:c r="O31" s="17" t="b">
        <x:v>1</x:v>
      </x:c>
      <x:c r="P31" s="16" t="b">
        <x:f>IFERROR(VLOOKUP(A31,States!$A$2:$B$18,2,FALSE),FALSE)</x:f>
        <x:v>1</x:v>
      </x:c>
      <x:c r="Q31" s="16" t="b">
        <x:f>AND(OR(O31=TRUE,O31="TRUE"),OR(P31=TRUE,P31="TRUE"))</x:f>
        <x:v>1</x:v>
      </x:c>
    </x:row>
    <x:row r="32">
      <x:c r="A32" s="16" t="str">
        <x:v>Pennsylvania</x:v>
      </x:c>
      <x:c r="B32" s="16" t="str">
        <x:v>Pittsburgh</x:v>
      </x:c>
      <x:c r="C32" s="16" t="n">
        <x:v>-79.951</x:v>
      </x:c>
      <x:c r="D32" s="16" t="n">
        <x:v>40.444</x:v>
      </x:c>
      <x:c r="E32" s="16" t="str">
        <x:v>Carnegie Museums of Art and Natural History</x:v>
      </x:c>
      <x:c r="F32" s="16" t="str">
        <x:v>Families, art lovers, science fans</x:v>
      </x:c>
      <x:c r="G32" s="16" t="str">
        <x:v>Art, dinosaurs, gems, and global cultures sit under one roof.</x:v>
      </x:c>
      <x:c r="H32" s="16" t="str">
        <x:v>Museum</x:v>
      </x:c>
      <x:c r="I32" s="16" t="str">
        <x:v>https://www.google.com/search?q=Carnegie%20Museums%20of%20Art%20and%20Natural%20History%20Pittsburgh%20Pennsylvania%20official%20website</x:v>
      </x:c>
      <x:c r="J32" s="16" t="str">
        <x:v>https://www.google.com/search?q=site%3Avisitpa.com%20Carnegie%20Museums%20of%20Art%20and%20Natural%20History</x:v>
      </x:c>
      <x:c r="K32" s="16" t="str">
        <x:v>https://www.google.com/search?q=Carnegie%20Museums%20of%20Art%20and%20Natural%20History%20Pittsburgh%20Pennsylvania%20visitor%20information</x:v>
      </x:c>
      <x:c r="L32" s="16" t="str">
        <x:v>https://www.google.com/search?q=Carnegie%20Museums%20of%20Art%20and%20Natural%20History%20Pittsburgh%20Pennsylvania%20photos</x:v>
      </x:c>
      <x:c r="M32" s="16" t="str">
        <x:v>https://www.google.com/search?q=Carnegie%20Museums%20of%20Art%20and%20Natural%20History%20Pittsburgh%20Pennsylvania%20wikipedia%20OR%20wikivoyage</x:v>
      </x:c>
      <x:c r="N32" s="16" t="str">
        <x:v>https://www.google.com/maps/search/?api=1&amp;query=Carnegie%20Museums%20of%20Art%20and%20Natural%20History%2C%20Pittsburgh%2C%20Pennsylvania</x:v>
      </x:c>
      <x:c r="O32" s="17" t="b">
        <x:v>1</x:v>
      </x:c>
      <x:c r="P32" s="16" t="b">
        <x:f>IFERROR(VLOOKUP(A32,States!$A$2:$B$18,2,FALSE),FALSE)</x:f>
        <x:v>1</x:v>
      </x:c>
      <x:c r="Q32" s="16" t="b">
        <x:f>AND(OR(O32=TRUE,O32="TRUE"),OR(P32=TRUE,P32="TRUE"))</x:f>
        <x:v>1</x:v>
      </x:c>
    </x:row>
    <x:row r="33">
      <x:c r="A33" s="16" t="str">
        <x:v>Pennsylvania</x:v>
      </x:c>
      <x:c r="B33" s="16" t="str">
        <x:v>Pittsburgh</x:v>
      </x:c>
      <x:c r="C33" s="16" t="n">
        <x:v>-79.996</x:v>
      </x:c>
      <x:c r="D33" s="16" t="n">
        <x:v>40.448</x:v>
      </x:c>
      <x:c r="E33" s="16" t="str">
        <x:v>Andy Warhol Museum</x:v>
      </x:c>
      <x:c r="F33" s="16" t="str">
        <x:v>Art lovers, pop culture fans</x:v>
      </x:c>
      <x:c r="G33" s="16" t="str">
        <x:v>A deep dive into Warhol's work, process, and Pittsburgh roots.</x:v>
      </x:c>
      <x:c r="H33" s="16" t="str">
        <x:v>Museum</x:v>
      </x:c>
      <x:c r="I33" s="16" t="str">
        <x:v>https://www.google.com/search?q=Andy%20Warhol%20Museum%20Pittsburgh%20Pennsylvania%20official%20website</x:v>
      </x:c>
      <x:c r="J33" s="16" t="str">
        <x:v>https://www.google.com/search?q=site%3Avisitpa.com%20Andy%20Warhol%20Museum</x:v>
      </x:c>
      <x:c r="K33" s="16" t="str">
        <x:v>https://www.google.com/search?q=Andy%20Warhol%20Museum%20Pittsburgh%20Pennsylvania%20visitor%20information</x:v>
      </x:c>
      <x:c r="L33" s="16" t="str">
        <x:v>https://www.google.com/search?q=Andy%20Warhol%20Museum%20Pittsburgh%20Pennsylvania%20photos</x:v>
      </x:c>
      <x:c r="M33" s="16" t="str">
        <x:v>https://www.google.com/search?q=Andy%20Warhol%20Museum%20Pittsburgh%20Pennsylvania%20wikipedia%20OR%20wikivoyage</x:v>
      </x:c>
      <x:c r="N33" s="16" t="str">
        <x:v>https://www.google.com/maps/search/?api=1&amp;query=Andy%20Warhol%20Museum%2C%20Pittsburgh%2C%20Pennsylvania</x:v>
      </x:c>
      <x:c r="O33" s="17" t="b">
        <x:v>1</x:v>
      </x:c>
      <x:c r="P33" s="16" t="b">
        <x:f>IFERROR(VLOOKUP(A33,States!$A$2:$B$18,2,FALSE),FALSE)</x:f>
        <x:v>1</x:v>
      </x:c>
      <x:c r="Q33" s="16" t="b">
        <x:f>AND(OR(O33=TRUE,O33="TRUE"),OR(P33=TRUE,P33="TRUE"))</x:f>
        <x:v>1</x:v>
      </x:c>
    </x:row>
    <x:row r="34">
      <x:c r="A34" s="16" t="str">
        <x:v>Pennsylvania</x:v>
      </x:c>
      <x:c r="B34" s="16" t="str">
        <x:v>Strasburg</x:v>
      </x:c>
      <x:c r="C34" s="16" t="n">
        <x:v>-76.164</x:v>
      </x:c>
      <x:c r="D34" s="16" t="n">
        <x:v>39.983</x:v>
      </x:c>
      <x:c r="E34" s="16" t="str">
        <x:v>Railroad Museum of Pennsylvania</x:v>
      </x:c>
      <x:c r="F34" s="16" t="str">
        <x:v>Train fans, families</x:v>
      </x:c>
      <x:c r="G34" s="16" t="str">
        <x:v>Historic locomotives and rail cars make industrial history approachable.</x:v>
      </x:c>
      <x:c r="H34" s="16" t="str">
        <x:v>Museum</x:v>
      </x:c>
      <x:c r="I34" s="16" t="str">
        <x:v>https://www.google.com/search?q=Railroad%20Museum%20of%20Pennsylvania%20Strasburg%20Pennsylvania%20official%20website</x:v>
      </x:c>
      <x:c r="J34" s="16" t="str">
        <x:v>https://www.google.com/search?q=site%3Avisitpa.com%20Railroad%20Museum%20of%20Pennsylvania</x:v>
      </x:c>
      <x:c r="K34" s="16" t="str">
        <x:v>https://www.google.com/search?q=Railroad%20Museum%20of%20Pennsylvania%20Strasburg%20Pennsylvania%20visitor%20information</x:v>
      </x:c>
      <x:c r="L34" s="16" t="str">
        <x:v>https://www.google.com/search?q=Railroad%20Museum%20of%20Pennsylvania%20Strasburg%20Pennsylvania%20photos</x:v>
      </x:c>
      <x:c r="M34" s="16" t="str">
        <x:v>https://www.google.com/search?q=Railroad%20Museum%20of%20Pennsylvania%20Strasburg%20Pennsylvania%20wikipedia%20OR%20wikivoyage</x:v>
      </x:c>
      <x:c r="N34" s="16" t="str">
        <x:v>https://www.google.com/maps/search/?api=1&amp;query=Railroad%20Museum%20of%20Pennsylvania%2C%20Strasburg%2C%20Pennsylvania</x:v>
      </x:c>
      <x:c r="O34" s="17" t="b">
        <x:v>1</x:v>
      </x:c>
      <x:c r="P34" s="16" t="b">
        <x:f>IFERROR(VLOOKUP(A34,States!$A$2:$B$18,2,FALSE),FALSE)</x:f>
        <x:v>1</x:v>
      </x:c>
      <x:c r="Q34" s="16" t="b">
        <x:f>AND(OR(O34=TRUE,O34="TRUE"),OR(P34=TRUE,P34="TRUE"))</x:f>
        <x:v>1</x:v>
      </x:c>
    </x:row>
    <x:row r="35">
      <x:c r="A35" s="16" t="str">
        <x:v>Pennsylvania</x:v>
      </x:c>
      <x:c r="B35" s="16" t="str">
        <x:v>Elysburg</x:v>
      </x:c>
      <x:c r="C35" s="16" t="n">
        <x:v>-76.506</x:v>
      </x:c>
      <x:c r="D35" s="16" t="n">
        <x:v>40.881</x:v>
      </x:c>
      <x:c r="E35" s="16" t="str">
        <x:v>Knoebels Amusement Resort</x:v>
      </x:c>
      <x:c r="F35" s="16" t="str">
        <x:v>Families, coaster fans</x:v>
      </x:c>
      <x:c r="G35" s="16" t="str">
        <x:v>Free-entry classic amusement park with beloved wooden coasters.</x:v>
      </x:c>
      <x:c r="H35" s="16" t="str">
        <x:v>Theme Park</x:v>
      </x:c>
      <x:c r="I35" s="16" t="str">
        <x:v>https://www.google.com/search?q=Knoebels%20Amusement%20Resort%20Elysburg%20Pennsylvania%20official%20website</x:v>
      </x:c>
      <x:c r="J35" s="16" t="str">
        <x:v>https://www.google.com/search?q=site%3Avisitpa.com%20Knoebels%20Amusement%20Resort</x:v>
      </x:c>
      <x:c r="K35" s="16" t="str">
        <x:v>https://www.google.com/search?q=Knoebels%20Amusement%20Resort%20Elysburg%20Pennsylvania%20visitor%20information</x:v>
      </x:c>
      <x:c r="L35" s="16" t="str">
        <x:v>https://www.google.com/search?q=Knoebels%20Amusement%20Resort%20Elysburg%20Pennsylvania%20photos</x:v>
      </x:c>
      <x:c r="M35" s="16" t="str">
        <x:v>https://www.google.com/search?q=Knoebels%20Amusement%20Resort%20Elysburg%20Pennsylvania%20wikipedia%20OR%20wikivoyage</x:v>
      </x:c>
      <x:c r="N35" s="16" t="str">
        <x:v>https://www.google.com/maps/search/?api=1&amp;query=Knoebels%20Amusement%20Resort%2C%20Elysburg%2C%20Pennsylvania</x:v>
      </x:c>
      <x:c r="O35" s="17" t="b">
        <x:v>1</x:v>
      </x:c>
      <x:c r="P35" s="16" t="b">
        <x:f>IFERROR(VLOOKUP(A35,States!$A$2:$B$18,2,FALSE),FALSE)</x:f>
        <x:v>1</x:v>
      </x:c>
      <x:c r="Q35" s="16" t="b">
        <x:f>AND(OR(O35=TRUE,O35="TRUE"),OR(P35=TRUE,P35="TRUE"))</x:f>
        <x:v>1</x:v>
      </x:c>
    </x:row>
    <x:row r="36">
      <x:c r="A36" s="16" t="str">
        <x:v>Pennsylvania</x:v>
      </x:c>
      <x:c r="B36" s="16" t="str">
        <x:v>Ohiopyle</x:v>
      </x:c>
      <x:c r="C36" s="16" t="n">
        <x:v>-79.495</x:v>
      </x:c>
      <x:c r="D36" s="16" t="n">
        <x:v>39.869</x:v>
      </x:c>
      <x:c r="E36" s="16" t="str">
        <x:v>Ohiopyle State Park</x:v>
      </x:c>
      <x:c r="F36" s="16" t="str">
        <x:v>Rafters, hikers, families</x:v>
      </x:c>
      <x:c r="G36" s="16" t="str">
        <x:v>Whitewater, waterfalls, and trail access create an active outdoor hub.</x:v>
      </x:c>
      <x:c r="H36" s="16" t="str">
        <x:v>Nature</x:v>
      </x:c>
      <x:c r="I36" s="16" t="str">
        <x:v>https://www.google.com/search?q=Ohiopyle%20State%20Park%20Ohiopyle%20Pennsylvania%20official%20website</x:v>
      </x:c>
      <x:c r="J36" s="16" t="str">
        <x:v>https://www.google.com/search?q=site%3Avisitpa.com%20Ohiopyle%20State%20Park</x:v>
      </x:c>
      <x:c r="K36" s="16" t="str">
        <x:v>https://www.google.com/search?q=Ohiopyle%20State%20Park%20Ohiopyle%20Pennsylvania%20visitor%20information</x:v>
      </x:c>
      <x:c r="L36" s="16" t="str">
        <x:v>https://www.google.com/search?q=Ohiopyle%20State%20Park%20Ohiopyle%20Pennsylvania%20photos</x:v>
      </x:c>
      <x:c r="M36" s="16" t="str">
        <x:v>https://www.google.com/search?q=Ohiopyle%20State%20Park%20Ohiopyle%20Pennsylvania%20wikipedia%20OR%20wikivoyage</x:v>
      </x:c>
      <x:c r="N36" s="16" t="str">
        <x:v>https://www.google.com/maps/search/?api=1&amp;query=Ohiopyle%20State%20Park%2C%20Ohiopyle%2C%20Pennsylvania</x:v>
      </x:c>
      <x:c r="O36" s="17" t="b">
        <x:v>1</x:v>
      </x:c>
      <x:c r="P36" s="16" t="b">
        <x:f>IFERROR(VLOOKUP(A36,States!$A$2:$B$18,2,FALSE),FALSE)</x:f>
        <x:v>1</x:v>
      </x:c>
      <x:c r="Q36" s="16" t="b">
        <x:f>AND(OR(O36=TRUE,O36="TRUE"),OR(P36=TRUE,P36="TRUE"))</x:f>
        <x:v>1</x:v>
      </x:c>
    </x:row>
    <x:row r="37">
      <x:c r="A37" s="16" t="str">
        <x:v>Pennsylvania</x:v>
      </x:c>
      <x:c r="B37" s="16" t="str">
        <x:v>King of Prussia</x:v>
      </x:c>
      <x:c r="C37" s="16" t="n">
        <x:v>-75.451</x:v>
      </x:c>
      <x:c r="D37" s="16" t="n">
        <x:v>40.101</x:v>
      </x:c>
      <x:c r="E37" s="16" t="str">
        <x:v>Valley Forge National Historical Park</x:v>
      </x:c>
      <x:c r="F37" s="16" t="str">
        <x:v>History buffs, walkers, families</x:v>
      </x:c>
      <x:c r="G37" s="16" t="str">
        <x:v>Revolutionary War landscapes pair monuments with easy trails.</x:v>
      </x:c>
      <x:c r="H37" s="16" t="str">
        <x:v>Historic Site</x:v>
      </x:c>
      <x:c r="I37" s="16" t="str">
        <x:v>https://www.google.com/search?q=Valley%20Forge%20National%20Historical%20Park%20King%20of%20Prussia%20Pennsylvania%20official%20website</x:v>
      </x:c>
      <x:c r="J37" s="16" t="str">
        <x:v>https://www.google.com/search?q=site%3Avisitpa.com%20Valley%20Forge%20National%20Historical%20Park</x:v>
      </x:c>
      <x:c r="K37" s="16" t="str">
        <x:v>https://www.google.com/search?q=Valley%20Forge%20National%20Historical%20Park%20King%20of%20Prussia%20Pennsylvania%20visitor%20information</x:v>
      </x:c>
      <x:c r="L37" s="16" t="str">
        <x:v>https://www.google.com/search?q=Valley%20Forge%20National%20Historical%20Park%20King%20of%20Prussia%20Pennsylvania%20photos</x:v>
      </x:c>
      <x:c r="M37" s="16" t="str">
        <x:v>https://www.google.com/search?q=Valley%20Forge%20National%20Historical%20Park%20King%20of%20Prussia%20Pennsylvania%20wikipedia%20OR%20wikivoyage</x:v>
      </x:c>
      <x:c r="N37" s="16" t="str">
        <x:v>https://www.google.com/maps/search/?api=1&amp;query=Valley%20Forge%20National%20Historical%20Park%2C%20King%20of%20Prussia%2C%20Pennsylvania</x:v>
      </x:c>
      <x:c r="O37" s="17" t="b">
        <x:v>1</x:v>
      </x:c>
      <x:c r="P37" s="16" t="b">
        <x:f>IFERROR(VLOOKUP(A37,States!$A$2:$B$18,2,FALSE),FALSE)</x:f>
        <x:v>1</x:v>
      </x:c>
      <x:c r="Q37" s="16" t="b">
        <x:f>AND(OR(O37=TRUE,O37="TRUE"),OR(P37=TRUE,P37="TRUE"))</x:f>
        <x:v>1</x:v>
      </x:c>
    </x:row>
    <x:row r="38">
      <x:c r="A38" s="16" t="str">
        <x:v>Pennsylvania</x:v>
      </x:c>
      <x:c r="B38" s="16" t="str">
        <x:v>Shanksville</x:v>
      </x:c>
      <x:c r="C38" s="16" t="n">
        <x:v>-78.904</x:v>
      </x:c>
      <x:c r="D38" s="16" t="n">
        <x:v>40.055</x:v>
      </x:c>
      <x:c r="E38" s="16" t="str">
        <x:v>Flight 93 National Memorial</x:v>
      </x:c>
      <x:c r="F38" s="16" t="str">
        <x:v>History travelers, families</x:v>
      </x:c>
      <x:c r="G38" s="16" t="str">
        <x:v>A solemn memorial honors passengers and crew from September 11.</x:v>
      </x:c>
      <x:c r="H38" s="16" t="str">
        <x:v>Memorial</x:v>
      </x:c>
      <x:c r="I38" s="16" t="str">
        <x:v>https://www.google.com/search?q=Flight%2093%20National%20Memorial%20Shanksville%20Pennsylvania%20official%20website</x:v>
      </x:c>
      <x:c r="J38" s="16" t="str">
        <x:v>https://www.google.com/search?q=site%3Avisitpa.com%20Flight%2093%20National%20Memorial</x:v>
      </x:c>
      <x:c r="K38" s="16" t="str">
        <x:v>https://www.google.com/search?q=Flight%2093%20National%20Memorial%20Shanksville%20Pennsylvania%20visitor%20information</x:v>
      </x:c>
      <x:c r="L38" s="16" t="str">
        <x:v>https://www.google.com/search?q=Flight%2093%20National%20Memorial%20Shanksville%20Pennsylvania%20photos</x:v>
      </x:c>
      <x:c r="M38" s="16" t="str">
        <x:v>https://www.google.com/search?q=Flight%2093%20National%20Memorial%20Shanksville%20Pennsylvania%20wikipedia%20OR%20wikivoyage</x:v>
      </x:c>
      <x:c r="N38" s="16" t="str">
        <x:v>https://www.google.com/maps/search/?api=1&amp;query=Flight%2093%20National%20Memorial%2C%20Shanksville%2C%20Pennsylvania</x:v>
      </x:c>
      <x:c r="O38" s="17" t="b">
        <x:v>1</x:v>
      </x:c>
      <x:c r="P38" s="16" t="b">
        <x:f>IFERROR(VLOOKUP(A38,States!$A$2:$B$18,2,FALSE),FALSE)</x:f>
        <x:v>1</x:v>
      </x:c>
      <x:c r="Q38" s="16" t="b">
        <x:f>AND(OR(O38=TRUE,O38="TRUE"),OR(P38=TRUE,P38="TRUE"))</x:f>
        <x:v>1</x:v>
      </x:c>
    </x:row>
    <x:row r="39">
      <x:c r="A39" s="16" t="str">
        <x:v>Pennsylvania</x:v>
      </x:c>
      <x:c r="B39" s="16" t="str">
        <x:v>Wellsboro</x:v>
      </x:c>
      <x:c r="C39" s="16" t="n">
        <x:v>-77.457</x:v>
      </x:c>
      <x:c r="D39" s="16" t="n">
        <x:v>41.7</x:v>
      </x:c>
      <x:c r="E39" s="16" t="str">
        <x:v>Pine Creek Gorge</x:v>
      </x:c>
      <x:c r="F39" s="16" t="str">
        <x:v>Scenic drivers, hikers, cyclists</x:v>
      </x:c>
      <x:c r="G39" s="16" t="str">
        <x:v>Pennsylvania's Grand Canyon offers overlooks and a rail trail.</x:v>
      </x:c>
      <x:c r="H39" s="16" t="str">
        <x:v>Nature</x:v>
      </x:c>
      <x:c r="I39" s="16" t="str">
        <x:v>https://www.google.com/search?q=Pine%20Creek%20Gorge%20Wellsboro%20Pennsylvania%20official%20website</x:v>
      </x:c>
      <x:c r="J39" s="16" t="str">
        <x:v>https://www.google.com/search?q=site%3Avisitpa.com%20Pine%20Creek%20Gorge</x:v>
      </x:c>
      <x:c r="K39" s="16" t="str">
        <x:v>https://www.google.com/search?q=Pine%20Creek%20Gorge%20Wellsboro%20Pennsylvania%20visitor%20information</x:v>
      </x:c>
      <x:c r="L39" s="16" t="str">
        <x:v>https://www.google.com/search?q=Pine%20Creek%20Gorge%20Wellsboro%20Pennsylvania%20photos</x:v>
      </x:c>
      <x:c r="M39" s="16" t="str">
        <x:v>https://www.google.com/search?q=Pine%20Creek%20Gorge%20Wellsboro%20Pennsylvania%20wikipedia%20OR%20wikivoyage</x:v>
      </x:c>
      <x:c r="N39" s="16" t="str">
        <x:v>https://www.google.com/maps/search/?api=1&amp;query=Pine%20Creek%20Gorge%2C%20Wellsboro%2C%20Pennsylvania</x:v>
      </x:c>
      <x:c r="O39" s="17" t="b">
        <x:v>1</x:v>
      </x:c>
      <x:c r="P39" s="16" t="b">
        <x:f>IFERROR(VLOOKUP(A39,States!$A$2:$B$18,2,FALSE),FALSE)</x:f>
        <x:v>1</x:v>
      </x:c>
      <x:c r="Q39" s="16" t="b">
        <x:f>AND(OR(O39=TRUE,O39="TRUE"),OR(P39=TRUE,P39="TRUE"))</x:f>
        <x:v>1</x:v>
      </x:c>
    </x:row>
    <x:row r="40">
      <x:c r="A40" s="16" t="str">
        <x:v>Pennsylvania</x:v>
      </x:c>
      <x:c r="B40" s="16" t="str">
        <x:v>Bushkill</x:v>
      </x:c>
      <x:c r="C40" s="16" t="n">
        <x:v>-75.008</x:v>
      </x:c>
      <x:c r="D40" s="16" t="n">
        <x:v>41.113</x:v>
      </x:c>
      <x:c r="E40" s="16" t="str">
        <x:v>Bushkill Falls</x:v>
      </x:c>
      <x:c r="F40" s="16" t="str">
        <x:v>Families, waterfall fans</x:v>
      </x:c>
      <x:c r="G40" s="16" t="str">
        <x:v>Boardwalk trails lead to a cluster of Pocono waterfalls.</x:v>
      </x:c>
      <x:c r="H40" s="16" t="str">
        <x:v>Nature</x:v>
      </x:c>
      <x:c r="I40" s="16" t="str">
        <x:v>https://www.google.com/search?q=Bushkill%20Falls%20Bushkill%20Pennsylvania%20official%20website</x:v>
      </x:c>
      <x:c r="J40" s="16" t="str">
        <x:v>https://www.google.com/search?q=site%3Avisitpa.com%20Bushkill%20Falls</x:v>
      </x:c>
      <x:c r="K40" s="16" t="str">
        <x:v>https://www.google.com/search?q=Bushkill%20Falls%20Bushkill%20Pennsylvania%20visitor%20information</x:v>
      </x:c>
      <x:c r="L40" s="16" t="str">
        <x:v>https://www.google.com/search?q=Bushkill%20Falls%20Bushkill%20Pennsylvania%20photos</x:v>
      </x:c>
      <x:c r="M40" s="16" t="str">
        <x:v>https://www.google.com/search?q=Bushkill%20Falls%20Bushkill%20Pennsylvania%20wikipedia%20OR%20wikivoyage</x:v>
      </x:c>
      <x:c r="N40" s="16" t="str">
        <x:v>https://www.google.com/maps/search/?api=1&amp;query=Bushkill%20Falls%2C%20Bushkill%2C%20Pennsylvania</x:v>
      </x:c>
      <x:c r="O40" s="17" t="b">
        <x:v>1</x:v>
      </x:c>
      <x:c r="P40" s="16" t="b">
        <x:f>IFERROR(VLOOKUP(A40,States!$A$2:$B$18,2,FALSE),FALSE)</x:f>
        <x:v>1</x:v>
      </x:c>
      <x:c r="Q40" s="16" t="b">
        <x:f>AND(OR(O40=TRUE,O40="TRUE"),OR(P40=TRUE,P40="TRUE"))</x:f>
        <x:v>1</x:v>
      </x:c>
    </x:row>
    <x:row r="41">
      <x:c r="A41" s="16" t="str">
        <x:v>Pennsylvania</x:v>
      </x:c>
      <x:c r="B41" s="16" t="str">
        <x:v>Mount Jewett</x:v>
      </x:c>
      <x:c r="C41" s="16" t="n">
        <x:v>-78.585</x:v>
      </x:c>
      <x:c r="D41" s="16" t="n">
        <x:v>41.759</x:v>
      </x:c>
      <x:c r="E41" s="16" t="str">
        <x:v>Kinzua Bridge State Park</x:v>
      </x:c>
      <x:c r="F41" s="16" t="str">
        <x:v>Families, photographers, engineering fans</x:v>
      </x:c>
      <x:c r="G41" s="16" t="str">
        <x:v>A skywalk reuses a historic rail viaduct over a forest valley.</x:v>
      </x:c>
      <x:c r="H41" s="16" t="str">
        <x:v>Historic Site</x:v>
      </x:c>
      <x:c r="I41" s="16" t="str">
        <x:v>https://www.google.com/search?q=Kinzua%20Bridge%20State%20Park%20Mount%20Jewett%20Pennsylvania%20official%20website</x:v>
      </x:c>
      <x:c r="J41" s="16" t="str">
        <x:v>https://www.google.com/search?q=site%3Avisitpa.com%20Kinzua%20Bridge%20State%20Park</x:v>
      </x:c>
      <x:c r="K41" s="16" t="str">
        <x:v>https://www.google.com/search?q=Kinzua%20Bridge%20State%20Park%20Mount%20Jewett%20Pennsylvania%20visitor%20information</x:v>
      </x:c>
      <x:c r="L41" s="16" t="str">
        <x:v>https://www.google.com/search?q=Kinzua%20Bridge%20State%20Park%20Mount%20Jewett%20Pennsylvania%20photos</x:v>
      </x:c>
      <x:c r="M41" s="16" t="str">
        <x:v>https://www.google.com/search?q=Kinzua%20Bridge%20State%20Park%20Mount%20Jewett%20Pennsylvania%20wikipedia%20OR%20wikivoyage</x:v>
      </x:c>
      <x:c r="N41" s="16" t="str">
        <x:v>https://www.google.com/maps/search/?api=1&amp;query=Kinzua%20Bridge%20State%20Park%2C%20Mount%20Jewett%2C%20Pennsylvania</x:v>
      </x:c>
      <x:c r="O41" s="17" t="b">
        <x:v>1</x:v>
      </x:c>
      <x:c r="P41" s="16" t="b">
        <x:f>IFERROR(VLOOKUP(A41,States!$A$2:$B$18,2,FALSE),FALSE)</x:f>
        <x:v>1</x:v>
      </x:c>
      <x:c r="Q41" s="16" t="b">
        <x:f>AND(OR(O41=TRUE,O41="TRUE"),OR(P41=TRUE,P41="TRUE"))</x:f>
        <x:v>1</x:v>
      </x:c>
    </x:row>
    <x:row r="42">
      <x:c r="A42" s="16" t="str">
        <x:v>Ohio</x:v>
      </x:c>
      <x:c r="B42" s="16" t="str">
        <x:v>Sandusky</x:v>
      </x:c>
      <x:c r="C42" s="16" t="n">
        <x:v>-82.678</x:v>
      </x:c>
      <x:c r="D42" s="16" t="n">
        <x:v>41.482</x:v>
      </x:c>
      <x:c r="E42" s="16" t="str">
        <x:v>Cedar Point</x:v>
      </x:c>
      <x:c r="F42" s="16" t="str">
        <x:v>Thrill seekers, families</x:v>
      </x:c>
      <x:c r="G42" s="16" t="str">
        <x:v>A dense lineup of major roller coasters sits on a Lake Erie peninsula.</x:v>
      </x:c>
      <x:c r="H42" s="16" t="str">
        <x:v>Theme Park</x:v>
      </x:c>
      <x:c r="I42" s="16" t="str">
        <x:v>https://www.google.com/search?q=Cedar%20Point%20Sandusky%20Ohio%20official%20website</x:v>
      </x:c>
      <x:c r="J42" s="16" t="str">
        <x:v>https://www.google.com/search?q=site%3Aohio.org%20Cedar%20Point</x:v>
      </x:c>
      <x:c r="K42" s="16" t="str">
        <x:v>https://www.google.com/search?q=Cedar%20Point%20Sandusky%20Ohio%20visitor%20information</x:v>
      </x:c>
      <x:c r="L42" s="16" t="str">
        <x:v>https://www.google.com/search?q=Cedar%20Point%20Sandusky%20Ohio%20photos</x:v>
      </x:c>
      <x:c r="M42" s="16" t="str">
        <x:v>https://www.google.com/search?q=Cedar%20Point%20Sandusky%20Ohio%20wikipedia%20OR%20wikivoyage</x:v>
      </x:c>
      <x:c r="N42" s="16" t="str">
        <x:v>https://www.google.com/maps/search/?api=1&amp;query=Cedar%20Point%2C%20Sandusky%2C%20Ohio</x:v>
      </x:c>
      <x:c r="O42" s="17" t="b">
        <x:v>1</x:v>
      </x:c>
      <x:c r="P42" s="16" t="b">
        <x:f>IFERROR(VLOOKUP(A42,States!$A$2:$B$18,2,FALSE),FALSE)</x:f>
        <x:v>1</x:v>
      </x:c>
      <x:c r="Q42" s="16" t="b">
        <x:f>AND(OR(O42=TRUE,O42="TRUE"),OR(P42=TRUE,P42="TRUE"))</x:f>
        <x:v>1</x:v>
      </x:c>
    </x:row>
    <x:row r="43">
      <x:c r="A43" s="16" t="str">
        <x:v>Ohio</x:v>
      </x:c>
      <x:c r="B43" s="16" t="str">
        <x:v>Cleveland</x:v>
      </x:c>
      <x:c r="C43" s="16" t="n">
        <x:v>-81.695</x:v>
      </x:c>
      <x:c r="D43" s="16" t="n">
        <x:v>41.508</x:v>
      </x:c>
      <x:c r="E43" s="16" t="str">
        <x:v>Rock and Roll Hall of Fame</x:v>
      </x:c>
      <x:c r="F43" s="16" t="str">
        <x:v>Music fans, pop culture travelers</x:v>
      </x:c>
      <x:c r="G43" s="16" t="str">
        <x:v>Artifacts and immersive exhibits track rock history and influence.</x:v>
      </x:c>
      <x:c r="H43" s="16" t="str">
        <x:v>Museum</x:v>
      </x:c>
      <x:c r="I43" s="16" t="str">
        <x:v>https://www.google.com/search?q=Rock%20and%20Roll%20Hall%20of%20Fame%20Cleveland%20Ohio%20official%20website</x:v>
      </x:c>
      <x:c r="J43" s="16" t="str">
        <x:v>https://www.google.com/search?q=site%3Aohio.org%20Rock%20and%20Roll%20Hall%20of%20Fame</x:v>
      </x:c>
      <x:c r="K43" s="16" t="str">
        <x:v>https://www.google.com/search?q=Rock%20and%20Roll%20Hall%20of%20Fame%20Cleveland%20Ohio%20visitor%20information</x:v>
      </x:c>
      <x:c r="L43" s="16" t="str">
        <x:v>https://www.google.com/search?q=Rock%20and%20Roll%20Hall%20of%20Fame%20Cleveland%20Ohio%20photos</x:v>
      </x:c>
      <x:c r="M43" s="16" t="str">
        <x:v>https://www.google.com/search?q=Rock%20and%20Roll%20Hall%20of%20Fame%20Cleveland%20Ohio%20wikipedia%20OR%20wikivoyage</x:v>
      </x:c>
      <x:c r="N43" s="16" t="str">
        <x:v>https://www.google.com/maps/search/?api=1&amp;query=Rock%20and%20Roll%20Hall%20of%20Fame%2C%20Cleveland%2C%20Ohio</x:v>
      </x:c>
      <x:c r="O43" s="17" t="b">
        <x:v>1</x:v>
      </x:c>
      <x:c r="P43" s="16" t="b">
        <x:f>IFERROR(VLOOKUP(A43,States!$A$2:$B$18,2,FALSE),FALSE)</x:f>
        <x:v>1</x:v>
      </x:c>
      <x:c r="Q43" s="16" t="b">
        <x:f>AND(OR(O43=TRUE,O43="TRUE"),OR(P43=TRUE,P43="TRUE"))</x:f>
        <x:v>1</x:v>
      </x:c>
    </x:row>
    <x:row r="44">
      <x:c r="A44" s="16" t="str">
        <x:v>Ohio</x:v>
      </x:c>
      <x:c r="B44" s="16" t="str">
        <x:v>Logan</x:v>
      </x:c>
      <x:c r="C44" s="16" t="n">
        <x:v>-82.525</x:v>
      </x:c>
      <x:c r="D44" s="16" t="n">
        <x:v>39.426</x:v>
      </x:c>
      <x:c r="E44" s="16" t="str">
        <x:v>Hocking Hills State Park</x:v>
      </x:c>
      <x:c r="F44" s="16" t="str">
        <x:v>Hikers, couples, photographers</x:v>
      </x:c>
      <x:c r="G44" s="16" t="str">
        <x:v>Caves, cliffs, and waterfalls feel wild but accessible.</x:v>
      </x:c>
      <x:c r="H44" s="16" t="str">
        <x:v>Nature</x:v>
      </x:c>
      <x:c r="I44" s="16" t="str">
        <x:v>https://www.google.com/search?q=Hocking%20Hills%20State%20Park%20Logan%20Ohio%20official%20website</x:v>
      </x:c>
      <x:c r="J44" s="16" t="str">
        <x:v>https://www.google.com/search?q=site%3Aohio.org%20Hocking%20Hills%20State%20Park</x:v>
      </x:c>
      <x:c r="K44" s="16" t="str">
        <x:v>https://www.google.com/search?q=Hocking%20Hills%20State%20Park%20Logan%20Ohio%20visitor%20information</x:v>
      </x:c>
      <x:c r="L44" s="16" t="str">
        <x:v>https://www.google.com/search?q=Hocking%20Hills%20State%20Park%20Logan%20Ohio%20photos</x:v>
      </x:c>
      <x:c r="M44" s="16" t="str">
        <x:v>https://www.google.com/search?q=Hocking%20Hills%20State%20Park%20Logan%20Ohio%20wikipedia%20OR%20wikivoyage</x:v>
      </x:c>
      <x:c r="N44" s="16" t="str">
        <x:v>https://www.google.com/maps/search/?api=1&amp;query=Hocking%20Hills%20State%20Park%2C%20Logan%2C%20Ohio</x:v>
      </x:c>
      <x:c r="O44" s="17" t="b">
        <x:v>1</x:v>
      </x:c>
      <x:c r="P44" s="16" t="b">
        <x:f>IFERROR(VLOOKUP(A44,States!$A$2:$B$18,2,FALSE),FALSE)</x:f>
        <x:v>1</x:v>
      </x:c>
      <x:c r="Q44" s="16" t="b">
        <x:f>AND(OR(O44=TRUE,O44="TRUE"),OR(P44=TRUE,P44="TRUE"))</x:f>
        <x:v>1</x:v>
      </x:c>
    </x:row>
    <x:row r="45">
      <x:c r="A45" s="16" t="str">
        <x:v>Ohio</x:v>
      </x:c>
      <x:c r="B45" s="16" t="str">
        <x:v>Dayton</x:v>
      </x:c>
      <x:c r="C45" s="16" t="n">
        <x:v>-84.109</x:v>
      </x:c>
      <x:c r="D45" s="16" t="n">
        <x:v>39.782</x:v>
      </x:c>
      <x:c r="E45" s="16" t="str">
        <x:v>National Museum of the U.S. Air Force</x:v>
      </x:c>
      <x:c r="F45" s="16" t="str">
        <x:v>Aviation fans, families, veterans</x:v>
      </x:c>
      <x:c r="G45" s="16" t="str">
        <x:v>Vast aircraft galleries cover flight from early aviation to space.</x:v>
      </x:c>
      <x:c r="H45" s="16" t="str">
        <x:v>Museum</x:v>
      </x:c>
      <x:c r="I45" s="16" t="str">
        <x:v>https://www.google.com/search?q=National%20Museum%20of%20the%20U.S.%20Air%20Force%20Dayton%20Ohio%20official%20website</x:v>
      </x:c>
      <x:c r="J45" s="16" t="str">
        <x:v>https://www.google.com/search?q=site%3Aohio.org%20National%20Museum%20of%20the%20U.S.%20Air%20Force</x:v>
      </x:c>
      <x:c r="K45" s="16" t="str">
        <x:v>https://www.google.com/search?q=National%20Museum%20of%20the%20U.S.%20Air%20Force%20Dayton%20Ohio%20visitor%20information</x:v>
      </x:c>
      <x:c r="L45" s="16" t="str">
        <x:v>https://www.google.com/search?q=National%20Museum%20of%20the%20U.S.%20Air%20Force%20Dayton%20Ohio%20photos</x:v>
      </x:c>
      <x:c r="M45" s="16" t="str">
        <x:v>https://www.google.com/search?q=National%20Museum%20of%20the%20U.S.%20Air%20Force%20Dayton%20Ohio%20wikipedia%20OR%20wikivoyage</x:v>
      </x:c>
      <x:c r="N45" s="16" t="str">
        <x:v>https://www.google.com/maps/search/?api=1&amp;query=National%20Museum%20of%20the%20U.S.%20Air%20Force%2C%20Dayton%2C%20Ohio</x:v>
      </x:c>
      <x:c r="O45" s="17" t="b">
        <x:v>1</x:v>
      </x:c>
      <x:c r="P45" s="16" t="b">
        <x:f>IFERROR(VLOOKUP(A45,States!$A$2:$B$18,2,FALSE),FALSE)</x:f>
        <x:v>1</x:v>
      </x:c>
      <x:c r="Q45" s="16" t="b">
        <x:f>AND(OR(O45=TRUE,O45="TRUE"),OR(P45=TRUE,P45="TRUE"))</x:f>
        <x:v>1</x:v>
      </x:c>
    </x:row>
    <x:row r="46">
      <x:c r="A46" s="16" t="str">
        <x:v>Ohio</x:v>
      </x:c>
      <x:c r="B46" s="16" t="str">
        <x:v>Powell</x:v>
      </x:c>
      <x:c r="C46" s="16" t="n">
        <x:v>-83.118</x:v>
      </x:c>
      <x:c r="D46" s="16" t="n">
        <x:v>40.157</x:v>
      </x:c>
      <x:c r="E46" s="16" t="str">
        <x:v>Columbus Zoo and Aquarium</x:v>
      </x:c>
      <x:c r="F46" s="16" t="str">
        <x:v>Families, animal lovers</x:v>
      </x:c>
      <x:c r="G46" s="16" t="str">
        <x:v>Large habitat zones and aquarium exhibits make it an all-day visit.</x:v>
      </x:c>
      <x:c r="H46" s="16" t="str">
        <x:v>Zoo/Aquarium</x:v>
      </x:c>
      <x:c r="I46" s="16" t="str">
        <x:v>https://www.google.com/search?q=Columbus%20Zoo%20and%20Aquarium%20Powell%20Ohio%20official%20website</x:v>
      </x:c>
      <x:c r="J46" s="16" t="str">
        <x:v>https://www.google.com/search?q=site%3Aohio.org%20Columbus%20Zoo%20and%20Aquarium</x:v>
      </x:c>
      <x:c r="K46" s="16" t="str">
        <x:v>https://www.google.com/search?q=Columbus%20Zoo%20and%20Aquarium%20Powell%20Ohio%20visitor%20information</x:v>
      </x:c>
      <x:c r="L46" s="16" t="str">
        <x:v>https://www.google.com/search?q=Columbus%20Zoo%20and%20Aquarium%20Powell%20Ohio%20photos</x:v>
      </x:c>
      <x:c r="M46" s="16" t="str">
        <x:v>https://www.google.com/search?q=Columbus%20Zoo%20and%20Aquarium%20Powell%20Ohio%20wikipedia%20OR%20wikivoyage</x:v>
      </x:c>
      <x:c r="N46" s="16" t="str">
        <x:v>https://www.google.com/maps/search/?api=1&amp;query=Columbus%20Zoo%20and%20Aquarium%2C%20Powell%2C%20Ohio</x:v>
      </x:c>
      <x:c r="O46" s="17" t="b">
        <x:v>1</x:v>
      </x:c>
      <x:c r="P46" s="16" t="b">
        <x:f>IFERROR(VLOOKUP(A46,States!$A$2:$B$18,2,FALSE),FALSE)</x:f>
        <x:v>1</x:v>
      </x:c>
      <x:c r="Q46" s="16" t="b">
        <x:f>AND(OR(O46=TRUE,O46="TRUE"),OR(P46=TRUE,P46="TRUE"))</x:f>
        <x:v>1</x:v>
      </x:c>
    </x:row>
    <x:row r="47">
      <x:c r="A47" s="16" t="str">
        <x:v>Ohio</x:v>
      </x:c>
      <x:c r="B47" s="16" t="str">
        <x:v>Peninsula</x:v>
      </x:c>
      <x:c r="C47" s="16" t="n">
        <x:v>-81.552</x:v>
      </x:c>
      <x:c r="D47" s="16" t="n">
        <x:v>41.281</x:v>
      </x:c>
      <x:c r="E47" s="16" t="str">
        <x:v>Cuyahoga Valley National Park</x:v>
      </x:c>
      <x:c r="F47" s="16" t="str">
        <x:v>Hikers, cyclists, families</x:v>
      </x:c>
      <x:c r="G47" s="16" t="str">
        <x:v>Waterfalls, towpath trails, and a scenic railroad sit near Cleveland.</x:v>
      </x:c>
      <x:c r="H47" s="16" t="str">
        <x:v>National Park</x:v>
      </x:c>
      <x:c r="I47" s="16" t="str">
        <x:v>https://www.google.com/search?q=Cuyahoga%20Valley%20National%20Park%20Peninsula%20Ohio%20official%20website</x:v>
      </x:c>
      <x:c r="J47" s="16" t="str">
        <x:v>https://www.google.com/search?q=site%3Aohio.org%20Cuyahoga%20Valley%20National%20Park</x:v>
      </x:c>
      <x:c r="K47" s="16" t="str">
        <x:v>https://www.google.com/search?q=Cuyahoga%20Valley%20National%20Park%20Peninsula%20Ohio%20visitor%20information</x:v>
      </x:c>
      <x:c r="L47" s="16" t="str">
        <x:v>https://www.google.com/search?q=Cuyahoga%20Valley%20National%20Park%20Peninsula%20Ohio%20photos</x:v>
      </x:c>
      <x:c r="M47" s="16" t="str">
        <x:v>https://www.google.com/search?q=site%3Anps.gov%20Cuyahoga%20Valley%20National%20Park</x:v>
      </x:c>
      <x:c r="N47" s="16" t="str">
        <x:v>https://www.google.com/maps/search/?api=1&amp;query=Cuyahoga%20Valley%20National%20Park%2C%20Peninsula%2C%20Ohio</x:v>
      </x:c>
      <x:c r="O47" s="17" t="b">
        <x:v>1</x:v>
      </x:c>
      <x:c r="P47" s="16" t="b">
        <x:f>IFERROR(VLOOKUP(A47,States!$A$2:$B$18,2,FALSE),FALSE)</x:f>
        <x:v>1</x:v>
      </x:c>
      <x:c r="Q47" s="16" t="b">
        <x:f>AND(OR(O47=TRUE,O47="TRUE"),OR(P47=TRUE,P47="TRUE"))</x:f>
        <x:v>1</x:v>
      </x:c>
    </x:row>
    <x:row r="48">
      <x:c r="A48" s="16" t="str">
        <x:v>Ohio</x:v>
      </x:c>
      <x:c r="B48" s="16" t="str">
        <x:v>Canton</x:v>
      </x:c>
      <x:c r="C48" s="16" t="n">
        <x:v>-81.398</x:v>
      </x:c>
      <x:c r="D48" s="16" t="n">
        <x:v>40.821</x:v>
      </x:c>
      <x:c r="E48" s="16" t="str">
        <x:v>Pro Football Hall of Fame</x:v>
      </x:c>
      <x:c r="F48" s="16" t="str">
        <x:v>Sports fans, families</x:v>
      </x:c>
      <x:c r="G48" s="16" t="str">
        <x:v>Football history, bust gallery, and memorabilia anchor a fan pilgrimage.</x:v>
      </x:c>
      <x:c r="H48" s="16" t="str">
        <x:v>Sports</x:v>
      </x:c>
      <x:c r="I48" s="16" t="str">
        <x:v>https://www.google.com/search?q=Pro%20Football%20Hall%20of%20Fame%20Canton%20Ohio%20official%20website</x:v>
      </x:c>
      <x:c r="J48" s="16" t="str">
        <x:v>https://www.google.com/search?q=site%3Aohio.org%20Pro%20Football%20Hall%20of%20Fame</x:v>
      </x:c>
      <x:c r="K48" s="16" t="str">
        <x:v>https://www.google.com/search?q=Pro%20Football%20Hall%20of%20Fame%20Canton%20Ohio%20visitor%20information</x:v>
      </x:c>
      <x:c r="L48" s="16" t="str">
        <x:v>https://www.google.com/search?q=Pro%20Football%20Hall%20of%20Fame%20Canton%20Ohio%20photos</x:v>
      </x:c>
      <x:c r="M48" s="16" t="str">
        <x:v>https://www.google.com/search?q=Pro%20Football%20Hall%20of%20Fame%20Canton%20Ohio%20wikipedia%20OR%20wikivoyage</x:v>
      </x:c>
      <x:c r="N48" s="16" t="str">
        <x:v>https://www.google.com/maps/search/?api=1&amp;query=Pro%20Football%20Hall%20of%20Fame%2C%20Canton%2C%20Ohio</x:v>
      </x:c>
      <x:c r="O48" s="17" t="b">
        <x:v>1</x:v>
      </x:c>
      <x:c r="P48" s="16" t="b">
        <x:f>IFERROR(VLOOKUP(A48,States!$A$2:$B$18,2,FALSE),FALSE)</x:f>
        <x:v>1</x:v>
      </x:c>
      <x:c r="Q48" s="16" t="b">
        <x:f>AND(OR(O48=TRUE,O48="TRUE"),OR(P48=TRUE,P48="TRUE"))</x:f>
        <x:v>1</x:v>
      </x:c>
    </x:row>
    <x:row r="49">
      <x:c r="A49" s="16" t="str">
        <x:v>Ohio</x:v>
      </x:c>
      <x:c r="B49" s="16" t="str">
        <x:v>Mason</x:v>
      </x:c>
      <x:c r="C49" s="16" t="n">
        <x:v>-84.268</x:v>
      </x:c>
      <x:c r="D49" s="16" t="n">
        <x:v>39.344</x:v>
      </x:c>
      <x:c r="E49" s="16" t="str">
        <x:v>Kings Island</x:v>
      </x:c>
      <x:c r="F49" s="16" t="str">
        <x:v>Families, thrill seekers</x:v>
      </x:c>
      <x:c r="G49" s="16" t="str">
        <x:v>A major amusement park with coasters and a large water park.</x:v>
      </x:c>
      <x:c r="H49" s="16" t="str">
        <x:v>Theme Park</x:v>
      </x:c>
      <x:c r="I49" s="16" t="str">
        <x:v>https://www.google.com/search?q=Kings%20Island%20Mason%20Ohio%20official%20website</x:v>
      </x:c>
      <x:c r="J49" s="16" t="str">
        <x:v>https://www.google.com/search?q=site%3Aohio.org%20Kings%20Island</x:v>
      </x:c>
      <x:c r="K49" s="16" t="str">
        <x:v>https://www.google.com/search?q=Kings%20Island%20Mason%20Ohio%20visitor%20information</x:v>
      </x:c>
      <x:c r="L49" s="16" t="str">
        <x:v>https://www.google.com/search?q=Kings%20Island%20Mason%20Ohio%20photos</x:v>
      </x:c>
      <x:c r="M49" s="16" t="str">
        <x:v>https://www.google.com/search?q=Kings%20Island%20Mason%20Ohio%20wikipedia%20OR%20wikivoyage</x:v>
      </x:c>
      <x:c r="N49" s="16" t="str">
        <x:v>https://www.google.com/maps/search/?api=1&amp;query=Kings%20Island%2C%20Mason%2C%20Ohio</x:v>
      </x:c>
      <x:c r="O49" s="17" t="b">
        <x:v>1</x:v>
      </x:c>
      <x:c r="P49" s="16" t="b">
        <x:f>IFERROR(VLOOKUP(A49,States!$A$2:$B$18,2,FALSE),FALSE)</x:f>
        <x:v>1</x:v>
      </x:c>
      <x:c r="Q49" s="16" t="b">
        <x:f>AND(OR(O49=TRUE,O49="TRUE"),OR(P49=TRUE,P49="TRUE"))</x:f>
        <x:v>1</x:v>
      </x:c>
    </x:row>
    <x:row r="50">
      <x:c r="A50" s="16" t="str">
        <x:v>Ohio</x:v>
      </x:c>
      <x:c r="B50" s="16" t="str">
        <x:v>Cincinnati</x:v>
      </x:c>
      <x:c r="C50" s="16" t="n">
        <x:v>-84.508</x:v>
      </x:c>
      <x:c r="D50" s="16" t="n">
        <x:v>39.145</x:v>
      </x:c>
      <x:c r="E50" s="16" t="str">
        <x:v>Cincinnati Zoo and Botanical Garden</x:v>
      </x:c>
      <x:c r="F50" s="16" t="str">
        <x:v>Families, animal lovers</x:v>
      </x:c>
      <x:c r="G50" s="16" t="str">
        <x:v>Historic zoo grounds mix conservation work with popular animal exhibits.</x:v>
      </x:c>
      <x:c r="H50" s="16" t="str">
        <x:v>Zoo/Aquarium</x:v>
      </x:c>
      <x:c r="I50" s="16" t="str">
        <x:v>https://www.google.com/search?q=Cincinnati%20Zoo%20and%20Botanical%20Garden%20Cincinnati%20Ohio%20official%20website</x:v>
      </x:c>
      <x:c r="J50" s="16" t="str">
        <x:v>https://www.google.com/search?q=site%3Aohio.org%20Cincinnati%20Zoo%20and%20Botanical%20Garden</x:v>
      </x:c>
      <x:c r="K50" s="16" t="str">
        <x:v>https://www.google.com/search?q=Cincinnati%20Zoo%20and%20Botanical%20Garden%20Cincinnati%20Ohio%20visitor%20information</x:v>
      </x:c>
      <x:c r="L50" s="16" t="str">
        <x:v>https://www.google.com/search?q=Cincinnati%20Zoo%20and%20Botanical%20Garden%20Cincinnati%20Ohio%20photos</x:v>
      </x:c>
      <x:c r="M50" s="16" t="str">
        <x:v>https://www.google.com/search?q=Cincinnati%20Zoo%20and%20Botanical%20Garden%20Cincinnati%20Ohio%20wikipedia%20OR%20wikivoyage</x:v>
      </x:c>
      <x:c r="N50" s="16" t="str">
        <x:v>https://www.google.com/maps/search/?api=1&amp;query=Cincinnati%20Zoo%20and%20Botanical%20Garden%2C%20Cincinnati%2C%20Ohio</x:v>
      </x:c>
      <x:c r="O50" s="17" t="b">
        <x:v>1</x:v>
      </x:c>
      <x:c r="P50" s="16" t="b">
        <x:f>IFERROR(VLOOKUP(A50,States!$A$2:$B$18,2,FALSE),FALSE)</x:f>
        <x:v>1</x:v>
      </x:c>
      <x:c r="Q50" s="16" t="b">
        <x:f>AND(OR(O50=TRUE,O50="TRUE"),OR(P50=TRUE,P50="TRUE"))</x:f>
        <x:v>1</x:v>
      </x:c>
    </x:row>
    <x:row r="51">
      <x:c r="A51" s="16" t="str">
        <x:v>Ohio</x:v>
      </x:c>
      <x:c r="B51" s="16" t="str">
        <x:v>Cleveland</x:v>
      </x:c>
      <x:c r="C51" s="16" t="n">
        <x:v>-81.611</x:v>
      </x:c>
      <x:c r="D51" s="16" t="n">
        <x:v>41.509</x:v>
      </x:c>
      <x:c r="E51" s="16" t="str">
        <x:v>Cleveland Museum of Art</x:v>
      </x:c>
      <x:c r="F51" s="16" t="str">
        <x:v>Art lovers, families</x:v>
      </x:c>
      <x:c r="G51" s="16" t="str">
        <x:v>Free admission and strong global collections make it an easy cultural stop.</x:v>
      </x:c>
      <x:c r="H51" s="16" t="str">
        <x:v>Museum</x:v>
      </x:c>
      <x:c r="I51" s="16" t="str">
        <x:v>https://www.google.com/search?q=Cleveland%20Museum%20of%20Art%20Cleveland%20Ohio%20official%20website</x:v>
      </x:c>
      <x:c r="J51" s="16" t="str">
        <x:v>https://www.google.com/search?q=site%3Aohio.org%20Cleveland%20Museum%20of%20Art</x:v>
      </x:c>
      <x:c r="K51" s="16" t="str">
        <x:v>https://www.google.com/search?q=Cleveland%20Museum%20of%20Art%20Cleveland%20Ohio%20visitor%20information</x:v>
      </x:c>
      <x:c r="L51" s="16" t="str">
        <x:v>https://www.google.com/search?q=Cleveland%20Museum%20of%20Art%20Cleveland%20Ohio%20photos</x:v>
      </x:c>
      <x:c r="M51" s="16" t="str">
        <x:v>https://www.google.com/search?q=Cleveland%20Museum%20of%20Art%20Cleveland%20Ohio%20wikipedia%20OR%20wikivoyage</x:v>
      </x:c>
      <x:c r="N51" s="16" t="str">
        <x:v>https://www.google.com/maps/search/?api=1&amp;query=Cleveland%20Museum%20of%20Art%2C%20Cleveland%2C%20Ohio</x:v>
      </x:c>
      <x:c r="O51" s="17" t="b">
        <x:v>1</x:v>
      </x:c>
      <x:c r="P51" s="16" t="b">
        <x:f>IFERROR(VLOOKUP(A51,States!$A$2:$B$18,2,FALSE),FALSE)</x:f>
        <x:v>1</x:v>
      </x:c>
      <x:c r="Q51" s="16" t="b">
        <x:f>AND(OR(O51=TRUE,O51="TRUE"),OR(P51=TRUE,P51="TRUE"))</x:f>
        <x:v>1</x:v>
      </x:c>
    </x:row>
    <x:row r="52">
      <x:c r="A52" s="16" t="str">
        <x:v>Ohio</x:v>
      </x:c>
      <x:c r="B52" s="16" t="str">
        <x:v>Columbus</x:v>
      </x:c>
      <x:c r="C52" s="16" t="n">
        <x:v>-82.953</x:v>
      </x:c>
      <x:c r="D52" s="16" t="n">
        <x:v>39.966</x:v>
      </x:c>
      <x:c r="E52" s="16" t="str">
        <x:v>Franklin Park Conservatory</x:v>
      </x:c>
      <x:c r="F52" s="16" t="str">
        <x:v>Garden lovers, families</x:v>
      </x:c>
      <x:c r="G52" s="16" t="str">
        <x:v>Plant biomes, glass art, and gardens fill a Victorian glasshouse.</x:v>
      </x:c>
      <x:c r="H52" s="16" t="str">
        <x:v>Garden</x:v>
      </x:c>
      <x:c r="I52" s="16" t="str">
        <x:v>https://www.google.com/search?q=Franklin%20Park%20Conservatory%20Columbus%20Ohio%20official%20website</x:v>
      </x:c>
      <x:c r="J52" s="16" t="str">
        <x:v>https://www.google.com/search?q=site%3Aohio.org%20Franklin%20Park%20Conservatory</x:v>
      </x:c>
      <x:c r="K52" s="16" t="str">
        <x:v>https://www.google.com/search?q=Franklin%20Park%20Conservatory%20Columbus%20Ohio%20visitor%20information</x:v>
      </x:c>
      <x:c r="L52" s="16" t="str">
        <x:v>https://www.google.com/search?q=Franklin%20Park%20Conservatory%20Columbus%20Ohio%20photos</x:v>
      </x:c>
      <x:c r="M52" s="16" t="str">
        <x:v>https://www.google.com/search?q=Franklin%20Park%20Conservatory%20Columbus%20Ohio%20wikipedia%20OR%20wikivoyage</x:v>
      </x:c>
      <x:c r="N52" s="16" t="str">
        <x:v>https://www.google.com/maps/search/?api=1&amp;query=Franklin%20Park%20Conservatory%2C%20Columbus%2C%20Ohio</x:v>
      </x:c>
      <x:c r="O52" s="17" t="b">
        <x:v>1</x:v>
      </x:c>
      <x:c r="P52" s="16" t="b">
        <x:f>IFERROR(VLOOKUP(A52,States!$A$2:$B$18,2,FALSE),FALSE)</x:f>
        <x:v>1</x:v>
      </x:c>
      <x:c r="Q52" s="16" t="b">
        <x:f>AND(OR(O52=TRUE,O52="TRUE"),OR(P52=TRUE,P52="TRUE"))</x:f>
        <x:v>1</x:v>
      </x:c>
    </x:row>
    <x:row r="53">
      <x:c r="A53" s="16" t="str">
        <x:v>Ohio</x:v>
      </x:c>
      <x:c r="B53" s="16" t="str">
        <x:v>Peebles</x:v>
      </x:c>
      <x:c r="C53" s="16" t="n">
        <x:v>-83.431</x:v>
      </x:c>
      <x:c r="D53" s="16" t="n">
        <x:v>39.025</x:v>
      </x:c>
      <x:c r="E53" s="16" t="str">
        <x:v>Serpent Mound</x:v>
      </x:c>
      <x:c r="F53" s="16" t="str">
        <x:v>History travelers, students</x:v>
      </x:c>
      <x:c r="G53" s="16" t="str">
        <x:v>A major ancient earthwork invites reflection on Indigenous engineering.</x:v>
      </x:c>
      <x:c r="H53" s="16" t="str">
        <x:v>Historic Site</x:v>
      </x:c>
      <x:c r="I53" s="16" t="str">
        <x:v>https://www.google.com/search?q=Serpent%20Mound%20Peebles%20Ohio%20official%20website</x:v>
      </x:c>
      <x:c r="J53" s="16" t="str">
        <x:v>https://www.google.com/search?q=site%3Aohio.org%20Serpent%20Mound</x:v>
      </x:c>
      <x:c r="K53" s="16" t="str">
        <x:v>https://www.google.com/search?q=Serpent%20Mound%20Peebles%20Ohio%20visitor%20information</x:v>
      </x:c>
      <x:c r="L53" s="16" t="str">
        <x:v>https://www.google.com/search?q=Serpent%20Mound%20Peebles%20Ohio%20photos</x:v>
      </x:c>
      <x:c r="M53" s="16" t="str">
        <x:v>https://www.google.com/search?q=Serpent%20Mound%20Peebles%20Ohio%20wikipedia%20OR%20wikivoyage</x:v>
      </x:c>
      <x:c r="N53" s="16" t="str">
        <x:v>https://www.google.com/maps/search/?api=1&amp;query=Serpent%20Mound%2C%20Peebles%2C%20Ohio</x:v>
      </x:c>
      <x:c r="O53" s="17" t="b">
        <x:v>1</x:v>
      </x:c>
      <x:c r="P53" s="16" t="b">
        <x:f>IFERROR(VLOOKUP(A53,States!$A$2:$B$18,2,FALSE),FALSE)</x:f>
        <x:v>1</x:v>
      </x:c>
      <x:c r="Q53" s="16" t="b">
        <x:f>AND(OR(O53=TRUE,O53="TRUE"),OR(P53=TRUE,P53="TRUE"))</x:f>
        <x:v>1</x:v>
      </x:c>
    </x:row>
    <x:row r="54">
      <x:c r="A54" s="16" t="str">
        <x:v>Ohio</x:v>
      </x:c>
      <x:c r="B54" s="16" t="str">
        <x:v>Berlin</x:v>
      </x:c>
      <x:c r="C54" s="16" t="n">
        <x:v>-81.794</x:v>
      </x:c>
      <x:c r="D54" s="16" t="n">
        <x:v>40.561</x:v>
      </x:c>
      <x:c r="E54" s="16" t="str">
        <x:v>Ohio Amish Country</x:v>
      </x:c>
      <x:c r="F54" s="16" t="str">
        <x:v>Food lovers, scenic drivers, families</x:v>
      </x:c>
      <x:c r="G54" s="16" t="str">
        <x:v>Rolling farms, markets, and craft shops slow the pace.</x:v>
      </x:c>
      <x:c r="H54" s="16" t="str">
        <x:v>Scenic Region</x:v>
      </x:c>
      <x:c r="I54" s="16" t="str">
        <x:v>https://www.google.com/search?q=Ohio%20Amish%20Country%20Berlin%20Ohio%20official%20website</x:v>
      </x:c>
      <x:c r="J54" s="16" t="str">
        <x:v>https://www.google.com/search?q=site%3Aohio.org%20Ohio%20Amish%20Country</x:v>
      </x:c>
      <x:c r="K54" s="16" t="str">
        <x:v>https://www.google.com/search?q=Ohio%20Amish%20Country%20Berlin%20Ohio%20visitor%20information</x:v>
      </x:c>
      <x:c r="L54" s="16" t="str">
        <x:v>https://www.google.com/search?q=Ohio%20Amish%20Country%20Berlin%20Ohio%20photos</x:v>
      </x:c>
      <x:c r="M54" s="16" t="str">
        <x:v>https://www.google.com/search?q=Ohio%20Amish%20Country%20Berlin%20Ohio%20wikipedia%20OR%20wikivoyage</x:v>
      </x:c>
      <x:c r="N54" s="16" t="str">
        <x:v>https://www.google.com/maps/search/?api=1&amp;query=Ohio%20Amish%20Country%2C%20Berlin%2C%20Ohio</x:v>
      </x:c>
      <x:c r="O54" s="17" t="b">
        <x:v>1</x:v>
      </x:c>
      <x:c r="P54" s="16" t="b">
        <x:f>IFERROR(VLOOKUP(A54,States!$A$2:$B$18,2,FALSE),FALSE)</x:f>
        <x:v>1</x:v>
      </x:c>
      <x:c r="Q54" s="16" t="b">
        <x:f>AND(OR(O54=TRUE,O54="TRUE"),OR(P54=TRUE,P54="TRUE"))</x:f>
        <x:v>1</x:v>
      </x:c>
    </x:row>
    <x:row r="55">
      <x:c r="A55" s="16" t="str">
        <x:v>Ohio</x:v>
      </x:c>
      <x:c r="B55" s="16" t="str">
        <x:v>Toledo</x:v>
      </x:c>
      <x:c r="C55" s="16" t="n">
        <x:v>-83.559</x:v>
      </x:c>
      <x:c r="D55" s="16" t="n">
        <x:v>41.658</x:v>
      </x:c>
      <x:c r="E55" s="16" t="str">
        <x:v>Toledo Museum of Art</x:v>
      </x:c>
      <x:c r="F55" s="16" t="str">
        <x:v>Art lovers, families</x:v>
      </x:c>
      <x:c r="G55" s="16" t="str">
        <x:v>Glass, painting, and sculpture collections are unusually strong.</x:v>
      </x:c>
      <x:c r="H55" s="16" t="str">
        <x:v>Museum</x:v>
      </x:c>
      <x:c r="I55" s="16" t="str">
        <x:v>https://www.google.com/search?q=Toledo%20Museum%20of%20Art%20Toledo%20Ohio%20official%20website</x:v>
      </x:c>
      <x:c r="J55" s="16" t="str">
        <x:v>https://www.google.com/search?q=site%3Aohio.org%20Toledo%20Museum%20of%20Art</x:v>
      </x:c>
      <x:c r="K55" s="16" t="str">
        <x:v>https://www.google.com/search?q=Toledo%20Museum%20of%20Art%20Toledo%20Ohio%20visitor%20information</x:v>
      </x:c>
      <x:c r="L55" s="16" t="str">
        <x:v>https://www.google.com/search?q=Toledo%20Museum%20of%20Art%20Toledo%20Ohio%20photos</x:v>
      </x:c>
      <x:c r="M55" s="16" t="str">
        <x:v>https://www.google.com/search?q=Toledo%20Museum%20of%20Art%20Toledo%20Ohio%20wikipedia%20OR%20wikivoyage</x:v>
      </x:c>
      <x:c r="N55" s="16" t="str">
        <x:v>https://www.google.com/maps/search/?api=1&amp;query=Toledo%20Museum%20of%20Art%2C%20Toledo%2C%20Ohio</x:v>
      </x:c>
      <x:c r="O55" s="17" t="b">
        <x:v>1</x:v>
      </x:c>
      <x:c r="P55" s="16" t="b">
        <x:f>IFERROR(VLOOKUP(A55,States!$A$2:$B$18,2,FALSE),FALSE)</x:f>
        <x:v>1</x:v>
      </x:c>
      <x:c r="Q55" s="16" t="b">
        <x:f>AND(OR(O55=TRUE,O55="TRUE"),OR(P55=TRUE,P55="TRUE"))</x:f>
        <x:v>1</x:v>
      </x:c>
    </x:row>
    <x:row r="56">
      <x:c r="A56" s="16" t="str">
        <x:v>Ohio</x:v>
      </x:c>
      <x:c r="B56" s="16" t="str">
        <x:v>Akron</x:v>
      </x:c>
      <x:c r="C56" s="16" t="n">
        <x:v>-81.551</x:v>
      </x:c>
      <x:c r="D56" s="16" t="n">
        <x:v>41.104</x:v>
      </x:c>
      <x:c r="E56" s="16" t="str">
        <x:v>Stan Hywet Hall and Gardens</x:v>
      </x:c>
      <x:c r="F56" s="16" t="str">
        <x:v>Architecture fans, garden lovers</x:v>
      </x:c>
      <x:c r="G56" s="16" t="str">
        <x:v>A grand estate preserves early 20th-century design and gardens.</x:v>
      </x:c>
      <x:c r="H56" s="16" t="str">
        <x:v>Historic Site</x:v>
      </x:c>
      <x:c r="I56" s="16" t="str">
        <x:v>https://www.google.com/search?q=Stan%20Hywet%20Hall%20and%20Gardens%20Akron%20Ohio%20official%20website</x:v>
      </x:c>
      <x:c r="J56" s="16" t="str">
        <x:v>https://www.google.com/search?q=site%3Aohio.org%20Stan%20Hywet%20Hall%20and%20Gardens</x:v>
      </x:c>
      <x:c r="K56" s="16" t="str">
        <x:v>https://www.google.com/search?q=Stan%20Hywet%20Hall%20and%20Gardens%20Akron%20Ohio%20visitor%20information</x:v>
      </x:c>
      <x:c r="L56" s="16" t="str">
        <x:v>https://www.google.com/search?q=Stan%20Hywet%20Hall%20and%20Gardens%20Akron%20Ohio%20photos</x:v>
      </x:c>
      <x:c r="M56" s="16" t="str">
        <x:v>https://www.google.com/search?q=Stan%20Hywet%20Hall%20and%20Gardens%20Akron%20Ohio%20wikipedia%20OR%20wikivoyage</x:v>
      </x:c>
      <x:c r="N56" s="16" t="str">
        <x:v>https://www.google.com/maps/search/?api=1&amp;query=Stan%20Hywet%20Hall%20and%20Gardens%2C%20Akron%2C%20Ohio</x:v>
      </x:c>
      <x:c r="O56" s="17" t="b">
        <x:v>1</x:v>
      </x:c>
      <x:c r="P56" s="16" t="b">
        <x:f>IFERROR(VLOOKUP(A56,States!$A$2:$B$18,2,FALSE),FALSE)</x:f>
        <x:v>1</x:v>
      </x:c>
      <x:c r="Q56" s="16" t="b">
        <x:f>AND(OR(O56=TRUE,O56="TRUE"),OR(P56=TRUE,P56="TRUE"))</x:f>
        <x:v>1</x:v>
      </x:c>
    </x:row>
    <x:row r="57">
      <x:c r="A57" s="16" t="str">
        <x:v>Ohio</x:v>
      </x:c>
      <x:c r="B57" s="16" t="str">
        <x:v>Cleveland</x:v>
      </x:c>
      <x:c r="C57" s="16" t="n">
        <x:v>-81.704</x:v>
      </x:c>
      <x:c r="D57" s="16" t="n">
        <x:v>41.484</x:v>
      </x:c>
      <x:c r="E57" s="16" t="str">
        <x:v>West Side Market</x:v>
      </x:c>
      <x:c r="F57" s="16" t="str">
        <x:v>Food lovers, photographers</x:v>
      </x:c>
      <x:c r="G57" s="16" t="str">
        <x:v>Historic market halls showcase Cleveland food culture.</x:v>
      </x:c>
      <x:c r="H57" s="16" t="str">
        <x:v>Food/Market</x:v>
      </x:c>
      <x:c r="I57" s="16" t="str">
        <x:v>https://www.google.com/search?q=West%20Side%20Market%20Cleveland%20Ohio%20official%20website</x:v>
      </x:c>
      <x:c r="J57" s="16" t="str">
        <x:v>https://www.google.com/search?q=site%3Aohio.org%20West%20Side%20Market</x:v>
      </x:c>
      <x:c r="K57" s="16" t="str">
        <x:v>https://www.google.com/search?q=West%20Side%20Market%20Cleveland%20Ohio%20visitor%20information</x:v>
      </x:c>
      <x:c r="L57" s="16" t="str">
        <x:v>https://www.google.com/search?q=West%20Side%20Market%20Cleveland%20Ohio%20photos</x:v>
      </x:c>
      <x:c r="M57" s="16" t="str">
        <x:v>https://www.google.com/search?q=West%20Side%20Market%20Cleveland%20Ohio%20wikipedia%20OR%20wikivoyage</x:v>
      </x:c>
      <x:c r="N57" s="16" t="str">
        <x:v>https://www.google.com/maps/search/?api=1&amp;query=West%20Side%20Market%2C%20Cleveland%2C%20Ohio</x:v>
      </x:c>
      <x:c r="O57" s="17" t="b">
        <x:v>1</x:v>
      </x:c>
      <x:c r="P57" s="16" t="b">
        <x:f>IFERROR(VLOOKUP(A57,States!$A$2:$B$18,2,FALSE),FALSE)</x:f>
        <x:v>1</x:v>
      </x:c>
      <x:c r="Q57" s="16" t="b">
        <x:f>AND(OR(O57=TRUE,O57="TRUE"),OR(P57=TRUE,P57="TRUE"))</x:f>
        <x:v>1</x:v>
      </x:c>
    </x:row>
    <x:row r="58">
      <x:c r="A58" s="16" t="str">
        <x:v>Ohio</x:v>
      </x:c>
      <x:c r="B58" s="16" t="str">
        <x:v>Cincinnati</x:v>
      </x:c>
      <x:c r="C58" s="16" t="n">
        <x:v>-84.507</x:v>
      </x:c>
      <x:c r="D58" s="16" t="n">
        <x:v>39.097</x:v>
      </x:c>
      <x:c r="E58" s="16" t="str">
        <x:v>Great American Ball Park</x:v>
      </x:c>
      <x:c r="F58" s="16" t="str">
        <x:v>Baseball fans, families</x:v>
      </x:c>
      <x:c r="G58" s="16" t="str">
        <x:v>Riverfront ballpark with Reds history and skyline views.</x:v>
      </x:c>
      <x:c r="H58" s="16" t="str">
        <x:v>Sports</x:v>
      </x:c>
      <x:c r="I58" s="16" t="str">
        <x:v>https://www.google.com/search?q=Great%20American%20Ball%20Park%20Cincinnati%20Ohio%20official%20website</x:v>
      </x:c>
      <x:c r="J58" s="16" t="str">
        <x:v>https://www.google.com/search?q=site%3Aohio.org%20Great%20American%20Ball%20Park</x:v>
      </x:c>
      <x:c r="K58" s="16" t="str">
        <x:v>https://www.google.com/search?q=Great%20American%20Ball%20Park%20Cincinnati%20Ohio%20visitor%20information</x:v>
      </x:c>
      <x:c r="L58" s="16" t="str">
        <x:v>https://www.google.com/search?q=Great%20American%20Ball%20Park%20Cincinnati%20Ohio%20photos</x:v>
      </x:c>
      <x:c r="M58" s="16" t="str">
        <x:v>https://www.google.com/search?q=Great%20American%20Ball%20Park%20Cincinnati%20Ohio%20wikipedia%20OR%20wikivoyage</x:v>
      </x:c>
      <x:c r="N58" s="16" t="str">
        <x:v>https://www.google.com/maps/search/?api=1&amp;query=Great%20American%20Ball%20Park%2C%20Cincinnati%2C%20Ohio</x:v>
      </x:c>
      <x:c r="O58" s="17" t="b">
        <x:v>1</x:v>
      </x:c>
      <x:c r="P58" s="16" t="b">
        <x:f>IFERROR(VLOOKUP(A58,States!$A$2:$B$18,2,FALSE),FALSE)</x:f>
        <x:v>1</x:v>
      </x:c>
      <x:c r="Q58" s="16" t="b">
        <x:f>AND(OR(O58=TRUE,O58="TRUE"),OR(P58=TRUE,P58="TRUE"))</x:f>
        <x:v>1</x:v>
      </x:c>
    </x:row>
    <x:row r="59">
      <x:c r="A59" s="16" t="str">
        <x:v>Ohio</x:v>
      </x:c>
      <x:c r="B59" s="16" t="str">
        <x:v>Kirtland</x:v>
      </x:c>
      <x:c r="C59" s="16" t="n">
        <x:v>-81.303</x:v>
      </x:c>
      <x:c r="D59" s="16" t="n">
        <x:v>41.612</x:v>
      </x:c>
      <x:c r="E59" s="16" t="str">
        <x:v>Holden Arboretum</x:v>
      </x:c>
      <x:c r="F59" s="16" t="str">
        <x:v>Garden lovers, families, walkers</x:v>
      </x:c>
      <x:c r="G59" s="16" t="str">
        <x:v>Canopy walks and broad gardens make trees the main event.</x:v>
      </x:c>
      <x:c r="H59" s="16" t="str">
        <x:v>Garden</x:v>
      </x:c>
      <x:c r="I59" s="16" t="str">
        <x:v>https://www.google.com/search?q=Holden%20Arboretum%20Kirtland%20Ohio%20official%20website</x:v>
      </x:c>
      <x:c r="J59" s="16" t="str">
        <x:v>https://www.google.com/search?q=site%3Aohio.org%20Holden%20Arboretum</x:v>
      </x:c>
      <x:c r="K59" s="16" t="str">
        <x:v>https://www.google.com/search?q=Holden%20Arboretum%20Kirtland%20Ohio%20visitor%20information</x:v>
      </x:c>
      <x:c r="L59" s="16" t="str">
        <x:v>https://www.google.com/search?q=Holden%20Arboretum%20Kirtland%20Ohio%20photos</x:v>
      </x:c>
      <x:c r="M59" s="16" t="str">
        <x:v>https://www.google.com/search?q=Holden%20Arboretum%20Kirtland%20Ohio%20wikipedia%20OR%20wikivoyage</x:v>
      </x:c>
      <x:c r="N59" s="16" t="str">
        <x:v>https://www.google.com/maps/search/?api=1&amp;query=Holden%20Arboretum%2C%20Kirtland%2C%20Ohio</x:v>
      </x:c>
      <x:c r="O59" s="17" t="b">
        <x:v>1</x:v>
      </x:c>
      <x:c r="P59" s="16" t="b">
        <x:f>IFERROR(VLOOKUP(A59,States!$A$2:$B$18,2,FALSE),FALSE)</x:f>
        <x:v>1</x:v>
      </x:c>
      <x:c r="Q59" s="16" t="b">
        <x:f>AND(OR(O59=TRUE,O59="TRUE"),OR(P59=TRUE,P59="TRUE"))</x:f>
        <x:v>1</x:v>
      </x:c>
    </x:row>
    <x:row r="60">
      <x:c r="A60" s="16" t="str">
        <x:v>Ohio</x:v>
      </x:c>
      <x:c r="B60" s="16" t="str">
        <x:v>Put-in-Bay</x:v>
      </x:c>
      <x:c r="C60" s="16" t="n">
        <x:v>-82.819</x:v>
      </x:c>
      <x:c r="D60" s="16" t="n">
        <x:v>41.653</x:v>
      </x:c>
      <x:c r="E60" s="16" t="str">
        <x:v>South Bass Island and Put-in-Bay</x:v>
      </x:c>
      <x:c r="F60" s="16" t="str">
        <x:v>Boaters, families, couples</x:v>
      </x:c>
      <x:c r="G60" s="16" t="str">
        <x:v>An island getaway with lake views, caves, and Perry history.</x:v>
      </x:c>
      <x:c r="H60" s="16" t="str">
        <x:v>Waterfront</x:v>
      </x:c>
      <x:c r="I60" s="16" t="str">
        <x:v>https://www.google.com/search?q=South%20Bass%20Island%20and%20Put-in-Bay%20Put-in-Bay%20Ohio%20official%20website</x:v>
      </x:c>
      <x:c r="J60" s="16" t="str">
        <x:v>https://www.google.com/search?q=site%3Aohio.org%20South%20Bass%20Island%20and%20Put-in-Bay</x:v>
      </x:c>
      <x:c r="K60" s="16" t="str">
        <x:v>https://www.google.com/search?q=South%20Bass%20Island%20and%20Put-in-Bay%20Put-in-Bay%20Ohio%20visitor%20information</x:v>
      </x:c>
      <x:c r="L60" s="16" t="str">
        <x:v>https://www.google.com/search?q=South%20Bass%20Island%20and%20Put-in-Bay%20Put-in-Bay%20Ohio%20photos</x:v>
      </x:c>
      <x:c r="M60" s="16" t="str">
        <x:v>https://www.google.com/search?q=South%20Bass%20Island%20and%20Put-in-Bay%20Put-in-Bay%20Ohio%20wikipedia%20OR%20wikivoyage</x:v>
      </x:c>
      <x:c r="N60" s="16" t="str">
        <x:v>https://www.google.com/maps/search/?api=1&amp;query=South%20Bass%20Island%20and%20Put-in-Bay%2C%20Put-in-Bay%2C%20Ohio</x:v>
      </x:c>
      <x:c r="O60" s="17" t="b">
        <x:v>1</x:v>
      </x:c>
      <x:c r="P60" s="16" t="b">
        <x:f>IFERROR(VLOOKUP(A60,States!$A$2:$B$18,2,FALSE),FALSE)</x:f>
        <x:v>1</x:v>
      </x:c>
      <x:c r="Q60" s="16" t="b">
        <x:f>AND(OR(O60=TRUE,O60="TRUE"),OR(P60=TRUE,P60="TRUE"))</x:f>
        <x:v>1</x:v>
      </x:c>
    </x:row>
    <x:row r="61">
      <x:c r="A61" s="16" t="str">
        <x:v>Ohio</x:v>
      </x:c>
      <x:c r="B61" s="16" t="str">
        <x:v>Youngstown</x:v>
      </x:c>
      <x:c r="C61" s="16" t="n">
        <x:v>-80.682</x:v>
      </x:c>
      <x:c r="D61" s="16" t="n">
        <x:v>41.102</x:v>
      </x:c>
      <x:c r="E61" s="16" t="str">
        <x:v>Mill Creek Park</x:v>
      </x:c>
      <x:c r="F61" s="16" t="str">
        <x:v>Families, walkers, garden lovers</x:v>
      </x:c>
      <x:c r="G61" s="16" t="str">
        <x:v>Urban parkland includes lakes, trails, and formal gardens.</x:v>
      </x:c>
      <x:c r="H61" s="16" t="str">
        <x:v>Nature</x:v>
      </x:c>
      <x:c r="I61" s="16" t="str">
        <x:v>https://www.google.com/search?q=Mill%20Creek%20Park%20Youngstown%20Ohio%20official%20website</x:v>
      </x:c>
      <x:c r="J61" s="16" t="str">
        <x:v>https://www.google.com/search?q=site%3Aohio.org%20Mill%20Creek%20Park</x:v>
      </x:c>
      <x:c r="K61" s="16" t="str">
        <x:v>https://www.google.com/search?q=Mill%20Creek%20Park%20Youngstown%20Ohio%20visitor%20information</x:v>
      </x:c>
      <x:c r="L61" s="16" t="str">
        <x:v>https://www.google.com/search?q=Mill%20Creek%20Park%20Youngstown%20Ohio%20photos</x:v>
      </x:c>
      <x:c r="M61" s="16" t="str">
        <x:v>https://www.google.com/search?q=Mill%20Creek%20Park%20Youngstown%20Ohio%20wikipedia%20OR%20wikivoyage</x:v>
      </x:c>
      <x:c r="N61" s="16" t="str">
        <x:v>https://www.google.com/maps/search/?api=1&amp;query=Mill%20Creek%20Park%2C%20Youngstown%2C%20Ohio</x:v>
      </x:c>
      <x:c r="O61" s="17" t="b">
        <x:v>1</x:v>
      </x:c>
      <x:c r="P61" s="16" t="b">
        <x:f>IFERROR(VLOOKUP(A61,States!$A$2:$B$18,2,FALSE),FALSE)</x:f>
        <x:v>1</x:v>
      </x:c>
      <x:c r="Q61" s="16" t="b">
        <x:f>AND(OR(O61=TRUE,O61="TRUE"),OR(P61=TRUE,P61="TRUE"))</x:f>
        <x:v>1</x:v>
      </x:c>
    </x:row>
    <x:row r="62">
      <x:c r="A62" s="16" t="str">
        <x:v>Michigan</x:v>
      </x:c>
      <x:c r="B62" s="16" t="str">
        <x:v>Empire</x:v>
      </x:c>
      <x:c r="C62" s="16" t="n">
        <x:v>-86.073</x:v>
      </x:c>
      <x:c r="D62" s="16" t="n">
        <x:v>44.881</x:v>
      </x:c>
      <x:c r="E62" s="16" t="str">
        <x:v>Sleeping Bear Dunes National Lakeshore</x:v>
      </x:c>
      <x:c r="F62" s="16" t="str">
        <x:v>Families, hikers, photographers</x:v>
      </x:c>
      <x:c r="G62" s="16" t="str">
        <x:v>Towering dunes and Lake Michigan overlooks feel epic and accessible.</x:v>
      </x:c>
      <x:c r="H62" s="16" t="str">
        <x:v>National Park</x:v>
      </x:c>
      <x:c r="I62" s="16" t="str">
        <x:v>https://www.google.com/search?q=Sleeping%20Bear%20Dunes%20National%20Lakeshore%20Empire%20Michigan%20official%20website</x:v>
      </x:c>
      <x:c r="J62" s="16" t="str">
        <x:v>https://www.google.com/search?q=site%3Amichigan.org%20Sleeping%20Bear%20Dunes%20National%20Lakeshore</x:v>
      </x:c>
      <x:c r="K62" s="16" t="str">
        <x:v>https://www.google.com/search?q=Sleeping%20Bear%20Dunes%20National%20Lakeshore%20Empire%20Michigan%20visitor%20information</x:v>
      </x:c>
      <x:c r="L62" s="16" t="str">
        <x:v>https://www.google.com/search?q=Sleeping%20Bear%20Dunes%20National%20Lakeshore%20Empire%20Michigan%20photos</x:v>
      </x:c>
      <x:c r="M62" s="16" t="str">
        <x:v>https://www.google.com/search?q=site%3Anps.gov%20Sleeping%20Bear%20Dunes%20National%20Lakeshore</x:v>
      </x:c>
      <x:c r="N62" s="16" t="str">
        <x:v>https://www.google.com/maps/search/?api=1&amp;query=Sleeping%20Bear%20Dunes%20National%20Lakeshore%2C%20Empire%2C%20Michigan</x:v>
      </x:c>
      <x:c r="O62" s="17" t="b">
        <x:v>1</x:v>
      </x:c>
      <x:c r="P62" s="16" t="b">
        <x:f>IFERROR(VLOOKUP(A62,States!$A$2:$B$18,2,FALSE),FALSE)</x:f>
        <x:v>1</x:v>
      </x:c>
      <x:c r="Q62" s="16" t="b">
        <x:f>AND(OR(O62=TRUE,O62="TRUE"),OR(P62=TRUE,P62="TRUE"))</x:f>
        <x:v>1</x:v>
      </x:c>
    </x:row>
    <x:row r="63">
      <x:c r="A63" s="16" t="str">
        <x:v>Michigan</x:v>
      </x:c>
      <x:c r="B63" s="16" t="str">
        <x:v>Munising</x:v>
      </x:c>
      <x:c r="C63" s="16" t="n">
        <x:v>-86.459</x:v>
      </x:c>
      <x:c r="D63" s="16" t="n">
        <x:v>46.564</x:v>
      </x:c>
      <x:c r="E63" s="16" t="str">
        <x:v>Pictured Rocks National Lakeshore</x:v>
      </x:c>
      <x:c r="F63" s="16" t="str">
        <x:v>Paddlers, hikers, photographers</x:v>
      </x:c>
      <x:c r="G63" s="16" t="str">
        <x:v>Colorful cliffs, beaches, and waterfalls line Lake Superior.</x:v>
      </x:c>
      <x:c r="H63" s="16" t="str">
        <x:v>National Park</x:v>
      </x:c>
      <x:c r="I63" s="16" t="str">
        <x:v>https://www.google.com/search?q=Pictured%20Rocks%20National%20Lakeshore%20Munising%20Michigan%20official%20website</x:v>
      </x:c>
      <x:c r="J63" s="16" t="str">
        <x:v>https://www.google.com/search?q=site%3Amichigan.org%20Pictured%20Rocks%20National%20Lakeshore</x:v>
      </x:c>
      <x:c r="K63" s="16" t="str">
        <x:v>https://www.google.com/search?q=Pictured%20Rocks%20National%20Lakeshore%20Munising%20Michigan%20visitor%20information</x:v>
      </x:c>
      <x:c r="L63" s="16" t="str">
        <x:v>https://www.google.com/search?q=Pictured%20Rocks%20National%20Lakeshore%20Munising%20Michigan%20photos</x:v>
      </x:c>
      <x:c r="M63" s="16" t="str">
        <x:v>https://www.google.com/search?q=site%3Anps.gov%20Pictured%20Rocks%20National%20Lakeshore</x:v>
      </x:c>
      <x:c r="N63" s="16" t="str">
        <x:v>https://www.google.com/maps/search/?api=1&amp;query=Pictured%20Rocks%20National%20Lakeshore%2C%20Munising%2C%20Michigan</x:v>
      </x:c>
      <x:c r="O63" s="17" t="b">
        <x:v>1</x:v>
      </x:c>
      <x:c r="P63" s="16" t="b">
        <x:f>IFERROR(VLOOKUP(A63,States!$A$2:$B$18,2,FALSE),FALSE)</x:f>
        <x:v>1</x:v>
      </x:c>
      <x:c r="Q63" s="16" t="b">
        <x:f>AND(OR(O63=TRUE,O63="TRUE"),OR(P63=TRUE,P63="TRUE"))</x:f>
        <x:v>1</x:v>
      </x:c>
    </x:row>
    <x:row r="64">
      <x:c r="A64" s="16" t="str">
        <x:v>Michigan</x:v>
      </x:c>
      <x:c r="B64" s="16" t="str">
        <x:v>Mackinac Island</x:v>
      </x:c>
      <x:c r="C64" s="16" t="n">
        <x:v>-84.627</x:v>
      </x:c>
      <x:c r="D64" s="16" t="n">
        <x:v>45.849</x:v>
      </x:c>
      <x:c r="E64" s="16" t="str">
        <x:v>Mackinac Island</x:v>
      </x:c>
      <x:c r="F64" s="16" t="str">
        <x:v>Families, couples, cyclists</x:v>
      </x:c>
      <x:c r="G64" s="16" t="str">
        <x:v>Car-free streets, lake views, and historic hotels create a timeless stop.</x:v>
      </x:c>
      <x:c r="H64" s="16" t="str">
        <x:v>Island</x:v>
      </x:c>
      <x:c r="I64" s="16" t="str">
        <x:v>https://www.google.com/search?q=Mackinac%20Island%20Mackinac%20Island%20Michigan%20official%20website</x:v>
      </x:c>
      <x:c r="J64" s="16" t="str">
        <x:v>https://www.google.com/search?q=site%3Amichigan.org%20Mackinac%20Island</x:v>
      </x:c>
      <x:c r="K64" s="16" t="str">
        <x:v>https://www.google.com/search?q=Mackinac%20Island%20Mackinac%20Island%20Michigan%20visitor%20information</x:v>
      </x:c>
      <x:c r="L64" s="16" t="str">
        <x:v>https://www.google.com/search?q=Mackinac%20Island%20Mackinac%20Island%20Michigan%20photos</x:v>
      </x:c>
      <x:c r="M64" s="16" t="str">
        <x:v>https://www.google.com/search?q=Mackinac%20Island%20Mackinac%20Island%20Michigan%20wikipedia%20OR%20wikivoyage</x:v>
      </x:c>
      <x:c r="N64" s="16" t="str">
        <x:v>https://www.google.com/maps/search/?api=1&amp;query=Mackinac%20Island%2C%20Mackinac%20Island%2C%20Michigan</x:v>
      </x:c>
      <x:c r="O64" s="17" t="b">
        <x:v>1</x:v>
      </x:c>
      <x:c r="P64" s="16" t="b">
        <x:f>IFERROR(VLOOKUP(A64,States!$A$2:$B$18,2,FALSE),FALSE)</x:f>
        <x:v>1</x:v>
      </x:c>
      <x:c r="Q64" s="16" t="b">
        <x:f>AND(OR(O64=TRUE,O64="TRUE"),OR(P64=TRUE,P64="TRUE"))</x:f>
        <x:v>1</x:v>
      </x:c>
    </x:row>
    <x:row r="65">
      <x:c r="A65" s="16" t="str">
        <x:v>Michigan</x:v>
      </x:c>
      <x:c r="B65" s="16" t="str">
        <x:v>Dearborn</x:v>
      </x:c>
      <x:c r="C65" s="16" t="n">
        <x:v>-83.234</x:v>
      </x:c>
      <x:c r="D65" s="16" t="n">
        <x:v>42.303</x:v>
      </x:c>
      <x:c r="E65" s="16" t="str">
        <x:v>The Henry Ford Museum of American Innovation</x:v>
      </x:c>
      <x:c r="F65" s="16" t="str">
        <x:v>Families, history buffs, makers</x:v>
      </x:c>
      <x:c r="G65" s="16" t="str">
        <x:v>Transportation, invention, and American industry are shown through huge artifacts.</x:v>
      </x:c>
      <x:c r="H65" s="16" t="str">
        <x:v>Museum</x:v>
      </x:c>
      <x:c r="I65" s="16" t="str">
        <x:v>https://www.google.com/search?q=The%20Henry%20Ford%20Museum%20of%20American%20Innovation%20Dearborn%20Michigan%20official%20website</x:v>
      </x:c>
      <x:c r="J65" s="16" t="str">
        <x:v>https://www.google.com/search?q=site%3Amichigan.org%20The%20Henry%20Ford%20Museum%20of%20American%20Innovation</x:v>
      </x:c>
      <x:c r="K65" s="16" t="str">
        <x:v>https://www.google.com/search?q=The%20Henry%20Ford%20Museum%20of%20American%20Innovation%20Dearborn%20Michigan%20visitor%20information</x:v>
      </x:c>
      <x:c r="L65" s="16" t="str">
        <x:v>https://www.google.com/search?q=The%20Henry%20Ford%20Museum%20of%20American%20Innovation%20Dearborn%20Michigan%20photos</x:v>
      </x:c>
      <x:c r="M65" s="16" t="str">
        <x:v>https://www.google.com/search?q=The%20Henry%20Ford%20Museum%20of%20American%20Innovation%20Dearborn%20Michigan%20wikipedia%20OR%20wikivoyage</x:v>
      </x:c>
      <x:c r="N65" s="16" t="str">
        <x:v>https://www.google.com/maps/search/?api=1&amp;query=The%20Henry%20Ford%20Museum%20of%20American%20Innovation%2C%20Dearborn%2C%20Michigan</x:v>
      </x:c>
      <x:c r="O65" s="17" t="b">
        <x:v>1</x:v>
      </x:c>
      <x:c r="P65" s="16" t="b">
        <x:f>IFERROR(VLOOKUP(A65,States!$A$2:$B$18,2,FALSE),FALSE)</x:f>
        <x:v>1</x:v>
      </x:c>
      <x:c r="Q65" s="16" t="b">
        <x:f>AND(OR(O65=TRUE,O65="TRUE"),OR(P65=TRUE,P65="TRUE"))</x:f>
        <x:v>1</x:v>
      </x:c>
    </x:row>
    <x:row r="66">
      <x:c r="A66" s="16" t="str">
        <x:v>Michigan</x:v>
      </x:c>
      <x:c r="B66" s="16" t="str">
        <x:v>Detroit</x:v>
      </x:c>
      <x:c r="C66" s="16" t="n">
        <x:v>-83.064</x:v>
      </x:c>
      <x:c r="D66" s="16" t="n">
        <x:v>42.359</x:v>
      </x:c>
      <x:c r="E66" s="16" t="str">
        <x:v>Detroit Institute of Arts</x:v>
      </x:c>
      <x:c r="F66" s="16" t="str">
        <x:v>Art lovers, families</x:v>
      </x:c>
      <x:c r="G66" s="16" t="str">
        <x:v>Major collections and Rivera murals make it a Midwest art landmark.</x:v>
      </x:c>
      <x:c r="H66" s="16" t="str">
        <x:v>Museum</x:v>
      </x:c>
      <x:c r="I66" s="16" t="str">
        <x:v>https://www.google.com/search?q=Detroit%20Institute%20of%20Arts%20Detroit%20Michigan%20official%20website</x:v>
      </x:c>
      <x:c r="J66" s="16" t="str">
        <x:v>https://www.google.com/search?q=site%3Amichigan.org%20Detroit%20Institute%20of%20Arts</x:v>
      </x:c>
      <x:c r="K66" s="16" t="str">
        <x:v>https://www.google.com/search?q=Detroit%20Institute%20of%20Arts%20Detroit%20Michigan%20visitor%20information</x:v>
      </x:c>
      <x:c r="L66" s="16" t="str">
        <x:v>https://www.google.com/search?q=Detroit%20Institute%20of%20Arts%20Detroit%20Michigan%20photos</x:v>
      </x:c>
      <x:c r="M66" s="16" t="str">
        <x:v>https://www.google.com/search?q=Detroit%20Institute%20of%20Arts%20Detroit%20Michigan%20wikipedia%20OR%20wikivoyage</x:v>
      </x:c>
      <x:c r="N66" s="16" t="str">
        <x:v>https://www.google.com/maps/search/?api=1&amp;query=Detroit%20Institute%20of%20Arts%2C%20Detroit%2C%20Michigan</x:v>
      </x:c>
      <x:c r="O66" s="17" t="b">
        <x:v>1</x:v>
      </x:c>
      <x:c r="P66" s="16" t="b">
        <x:f>IFERROR(VLOOKUP(A66,States!$A$2:$B$18,2,FALSE),FALSE)</x:f>
        <x:v>1</x:v>
      </x:c>
      <x:c r="Q66" s="16" t="b">
        <x:f>AND(OR(O66=TRUE,O66="TRUE"),OR(P66=TRUE,P66="TRUE"))</x:f>
        <x:v>1</x:v>
      </x:c>
    </x:row>
    <x:row r="67">
      <x:c r="A67" s="16" t="str">
        <x:v>Michigan</x:v>
      </x:c>
      <x:c r="B67" s="16" t="str">
        <x:v>Detroit</x:v>
      </x:c>
      <x:c r="C67" s="16" t="n">
        <x:v>-83.081</x:v>
      </x:c>
      <x:c r="D67" s="16" t="n">
        <x:v>42.364</x:v>
      </x:c>
      <x:c r="E67" s="16" t="str">
        <x:v>Motown Museum</x:v>
      </x:c>
      <x:c r="F67" s="16" t="str">
        <x:v>Music fans, pop culture travelers</x:v>
      </x:c>
      <x:c r="G67" s="16" t="str">
        <x:v>Studio A preserves the birthplace of the Motown sound.</x:v>
      </x:c>
      <x:c r="H67" s="16" t="str">
        <x:v>Museum</x:v>
      </x:c>
      <x:c r="I67" s="16" t="str">
        <x:v>https://www.google.com/search?q=Motown%20Museum%20Detroit%20Michigan%20official%20website</x:v>
      </x:c>
      <x:c r="J67" s="16" t="str">
        <x:v>https://www.google.com/search?q=site%3Amichigan.org%20Motown%20Museum</x:v>
      </x:c>
      <x:c r="K67" s="16" t="str">
        <x:v>https://www.google.com/search?q=Motown%20Museum%20Detroit%20Michigan%20visitor%20information</x:v>
      </x:c>
      <x:c r="L67" s="16" t="str">
        <x:v>https://www.google.com/search?q=Motown%20Museum%20Detroit%20Michigan%20photos</x:v>
      </x:c>
      <x:c r="M67" s="16" t="str">
        <x:v>https://www.google.com/search?q=Motown%20Museum%20Detroit%20Michigan%20wikipedia%20OR%20wikivoyage</x:v>
      </x:c>
      <x:c r="N67" s="16" t="str">
        <x:v>https://www.google.com/maps/search/?api=1&amp;query=Motown%20Museum%2C%20Detroit%2C%20Michigan</x:v>
      </x:c>
      <x:c r="O67" s="17" t="b">
        <x:v>1</x:v>
      </x:c>
      <x:c r="P67" s="16" t="b">
        <x:f>IFERROR(VLOOKUP(A67,States!$A$2:$B$18,2,FALSE),FALSE)</x:f>
        <x:v>1</x:v>
      </x:c>
      <x:c r="Q67" s="16" t="b">
        <x:f>AND(OR(O67=TRUE,O67="TRUE"),OR(P67=TRUE,P67="TRUE"))</x:f>
        <x:v>1</x:v>
      </x:c>
    </x:row>
    <x:row r="68">
      <x:c r="A68" s="16" t="str">
        <x:v>Michigan</x:v>
      </x:c>
      <x:c r="B68" s="16" t="str">
        <x:v>Paradise</x:v>
      </x:c>
      <x:c r="C68" s="16" t="n">
        <x:v>-85.256</x:v>
      </x:c>
      <x:c r="D68" s="16" t="n">
        <x:v>46.575</x:v>
      </x:c>
      <x:c r="E68" s="16" t="str">
        <x:v>Tahquamenon Falls State Park</x:v>
      </x:c>
      <x:c r="F68" s="16" t="str">
        <x:v>Families, hikers, waterfall fans</x:v>
      </x:c>
      <x:c r="G68" s="16" t="str">
        <x:v>Powerful amber-colored falls anchor a classic Upper Peninsula detour.</x:v>
      </x:c>
      <x:c r="H68" s="16" t="str">
        <x:v>Nature</x:v>
      </x:c>
      <x:c r="I68" s="16" t="str">
        <x:v>https://www.google.com/search?q=Tahquamenon%20Falls%20State%20Park%20Paradise%20Michigan%20official%20website</x:v>
      </x:c>
      <x:c r="J68" s="16" t="str">
        <x:v>https://www.google.com/search?q=site%3Amichigan.org%20Tahquamenon%20Falls%20State%20Park</x:v>
      </x:c>
      <x:c r="K68" s="16" t="str">
        <x:v>https://www.google.com/search?q=Tahquamenon%20Falls%20State%20Park%20Paradise%20Michigan%20visitor%20information</x:v>
      </x:c>
      <x:c r="L68" s="16" t="str">
        <x:v>https://www.google.com/search?q=Tahquamenon%20Falls%20State%20Park%20Paradise%20Michigan%20photos</x:v>
      </x:c>
      <x:c r="M68" s="16" t="str">
        <x:v>https://www.google.com/search?q=Tahquamenon%20Falls%20State%20Park%20Paradise%20Michigan%20wikipedia%20OR%20wikivoyage</x:v>
      </x:c>
      <x:c r="N68" s="16" t="str">
        <x:v>https://www.google.com/maps/search/?api=1&amp;query=Tahquamenon%20Falls%20State%20Park%2C%20Paradise%2C%20Michigan</x:v>
      </x:c>
      <x:c r="O68" s="17" t="b">
        <x:v>1</x:v>
      </x:c>
      <x:c r="P68" s="16" t="b">
        <x:f>IFERROR(VLOOKUP(A68,States!$A$2:$B$18,2,FALSE),FALSE)</x:f>
        <x:v>1</x:v>
      </x:c>
      <x:c r="Q68" s="16" t="b">
        <x:f>AND(OR(O68=TRUE,O68="TRUE"),OR(P68=TRUE,P68="TRUE"))</x:f>
        <x:v>1</x:v>
      </x:c>
    </x:row>
    <x:row r="69">
      <x:c r="A69" s="16" t="str">
        <x:v>Michigan</x:v>
      </x:c>
      <x:c r="B69" s="16" t="str">
        <x:v>Houghton</x:v>
      </x:c>
      <x:c r="C69" s="16" t="n">
        <x:v>-88.55</x:v>
      </x:c>
      <x:c r="D69" s="16" t="n">
        <x:v>47.995</x:v>
      </x:c>
      <x:c r="E69" s="16" t="str">
        <x:v>Isle Royale National Park</x:v>
      </x:c>
      <x:c r="F69" s="16" t="str">
        <x:v>Backpackers, paddlers, solitude seekers</x:v>
      </x:c>
      <x:c r="G69" s="16" t="str">
        <x:v>Remote Lake Superior wilderness rewards committed outdoor travelers.</x:v>
      </x:c>
      <x:c r="H69" s="16" t="str">
        <x:v>National Park</x:v>
      </x:c>
      <x:c r="I69" s="16" t="str">
        <x:v>https://www.google.com/search?q=Isle%20Royale%20National%20Park%20Houghton%20Michigan%20official%20website</x:v>
      </x:c>
      <x:c r="J69" s="16" t="str">
        <x:v>https://www.google.com/search?q=site%3Amichigan.org%20Isle%20Royale%20National%20Park</x:v>
      </x:c>
      <x:c r="K69" s="16" t="str">
        <x:v>https://www.google.com/search?q=Isle%20Royale%20National%20Park%20Houghton%20Michigan%20visitor%20information</x:v>
      </x:c>
      <x:c r="L69" s="16" t="str">
        <x:v>https://www.google.com/search?q=Isle%20Royale%20National%20Park%20Houghton%20Michigan%20photos</x:v>
      </x:c>
      <x:c r="M69" s="16" t="str">
        <x:v>https://www.google.com/search?q=site%3Anps.gov%20Isle%20Royale%20National%20Park</x:v>
      </x:c>
      <x:c r="N69" s="16" t="str">
        <x:v>https://www.google.com/maps/search/?api=1&amp;query=Isle%20Royale%20National%20Park%2C%20Houghton%2C%20Michigan</x:v>
      </x:c>
      <x:c r="O69" s="17" t="b">
        <x:v>1</x:v>
      </x:c>
      <x:c r="P69" s="16" t="b">
        <x:f>IFERROR(VLOOKUP(A69,States!$A$2:$B$18,2,FALSE),FALSE)</x:f>
        <x:v>1</x:v>
      </x:c>
      <x:c r="Q69" s="16" t="b">
        <x:f>AND(OR(O69=TRUE,O69="TRUE"),OR(P69=TRUE,P69="TRUE"))</x:f>
        <x:v>1</x:v>
      </x:c>
    </x:row>
    <x:row r="70">
      <x:c r="A70" s="16" t="str">
        <x:v>Michigan</x:v>
      </x:c>
      <x:c r="B70" s="16" t="str">
        <x:v>Grand Rapids</x:v>
      </x:c>
      <x:c r="C70" s="16" t="n">
        <x:v>-85.588</x:v>
      </x:c>
      <x:c r="D70" s="16" t="n">
        <x:v>42.98</x:v>
      </x:c>
      <x:c r="E70" s="16" t="str">
        <x:v>Frederik Meijer Gardens and Sculpture Park</x:v>
      </x:c>
      <x:c r="F70" s="16" t="str">
        <x:v>Garden lovers, art fans, families</x:v>
      </x:c>
      <x:c r="G70" s="16" t="str">
        <x:v>Botanical gardens and large-scale sculpture share a polished campus.</x:v>
      </x:c>
      <x:c r="H70" s="16" t="str">
        <x:v>Garden</x:v>
      </x:c>
      <x:c r="I70" s="16" t="str">
        <x:v>https://www.google.com/search?q=Frederik%20Meijer%20Gardens%20and%20Sculpture%20Park%20Grand%20Rapids%20Michigan%20official%20website</x:v>
      </x:c>
      <x:c r="J70" s="16" t="str">
        <x:v>https://www.google.com/search?q=site%3Amichigan.org%20Frederik%20Meijer%20Gardens%20and%20Sculpture%20Park</x:v>
      </x:c>
      <x:c r="K70" s="16" t="str">
        <x:v>https://www.google.com/search?q=Frederik%20Meijer%20Gardens%20and%20Sculpture%20Park%20Grand%20Rapids%20Michigan%20visitor%20information</x:v>
      </x:c>
      <x:c r="L70" s="16" t="str">
        <x:v>https://www.google.com/search?q=Frederik%20Meijer%20Gardens%20and%20Sculpture%20Park%20Grand%20Rapids%20Michigan%20photos</x:v>
      </x:c>
      <x:c r="M70" s="16" t="str">
        <x:v>https://www.google.com/search?q=Frederik%20Meijer%20Gardens%20and%20Sculpture%20Park%20Grand%20Rapids%20Michigan%20wikipedia%20OR%20wikivoyage</x:v>
      </x:c>
      <x:c r="N70" s="16" t="str">
        <x:v>https://www.google.com/maps/search/?api=1&amp;query=Frederik%20Meijer%20Gardens%20and%20Sculpture%20Park%2C%20Grand%20Rapids%2C%20Michigan</x:v>
      </x:c>
      <x:c r="O70" s="17" t="b">
        <x:v>1</x:v>
      </x:c>
      <x:c r="P70" s="16" t="b">
        <x:f>IFERROR(VLOOKUP(A70,States!$A$2:$B$18,2,FALSE),FALSE)</x:f>
        <x:v>1</x:v>
      </x:c>
      <x:c r="Q70" s="16" t="b">
        <x:f>AND(OR(O70=TRUE,O70="TRUE"),OR(P70=TRUE,P70="TRUE"))</x:f>
        <x:v>1</x:v>
      </x:c>
    </x:row>
    <x:row r="71">
      <x:c r="A71" s="16" t="str">
        <x:v>Michigan</x:v>
      </x:c>
      <x:c r="B71" s="16" t="str">
        <x:v>Copper Harbor</x:v>
      </x:c>
      <x:c r="C71" s="16" t="n">
        <x:v>-87.886</x:v>
      </x:c>
      <x:c r="D71" s="16" t="n">
        <x:v>47.468</x:v>
      </x:c>
      <x:c r="E71" s="16" t="str">
        <x:v>Keweenaw Peninsula</x:v>
      </x:c>
      <x:c r="F71" s="16" t="str">
        <x:v>Scenic drivers, history buffs, cyclists</x:v>
      </x:c>
      <x:c r="G71" s="16" t="str">
        <x:v>Copper mining history, rugged shorelines, and remote roads define the peninsula.</x:v>
      </x:c>
      <x:c r="H71" s="16" t="str">
        <x:v>Scenic Region</x:v>
      </x:c>
      <x:c r="I71" s="16" t="str">
        <x:v>https://www.google.com/search?q=Keweenaw%20Peninsula%20Copper%20Harbor%20Michigan%20official%20website</x:v>
      </x:c>
      <x:c r="J71" s="16" t="str">
        <x:v>https://www.google.com/search?q=site%3Amichigan.org%20Keweenaw%20Peninsula</x:v>
      </x:c>
      <x:c r="K71" s="16" t="str">
        <x:v>https://www.google.com/search?q=Keweenaw%20Peninsula%20Copper%20Harbor%20Michigan%20visitor%20information</x:v>
      </x:c>
      <x:c r="L71" s="16" t="str">
        <x:v>https://www.google.com/search?q=Keweenaw%20Peninsula%20Copper%20Harbor%20Michigan%20photos</x:v>
      </x:c>
      <x:c r="M71" s="16" t="str">
        <x:v>https://www.google.com/search?q=Keweenaw%20Peninsula%20Copper%20Harbor%20Michigan%20wikipedia%20OR%20wikivoyage</x:v>
      </x:c>
      <x:c r="N71" s="16" t="str">
        <x:v>https://www.google.com/maps/search/?api=1&amp;query=Keweenaw%20Peninsula%2C%20Copper%20Harbor%2C%20Michigan</x:v>
      </x:c>
      <x:c r="O71" s="17" t="b">
        <x:v>1</x:v>
      </x:c>
      <x:c r="P71" s="16" t="b">
        <x:f>IFERROR(VLOOKUP(A71,States!$A$2:$B$18,2,FALSE),FALSE)</x:f>
        <x:v>1</x:v>
      </x:c>
      <x:c r="Q71" s="16" t="b">
        <x:f>AND(OR(O71=TRUE,O71="TRUE"),OR(P71=TRUE,P71="TRUE"))</x:f>
        <x:v>1</x:v>
      </x:c>
    </x:row>
    <x:row r="72">
      <x:c r="A72" s="16" t="str">
        <x:v>Michigan</x:v>
      </x:c>
      <x:c r="B72" s="16" t="str">
        <x:v>Mackinaw City</x:v>
      </x:c>
      <x:c r="C72" s="16" t="n">
        <x:v>-84.73</x:v>
      </x:c>
      <x:c r="D72" s="16" t="n">
        <x:v>45.817</x:v>
      </x:c>
      <x:c r="E72" s="16" t="str">
        <x:v>Mackinac Bridge</x:v>
      </x:c>
      <x:c r="F72" s="16" t="str">
        <x:v>Road trippers, engineering fans</x:v>
      </x:c>
      <x:c r="G72" s="16" t="str">
        <x:v>The suspension bridge is a Great Lakes engineering icon.</x:v>
      </x:c>
      <x:c r="H72" s="16" t="str">
        <x:v>Landmark</x:v>
      </x:c>
      <x:c r="I72" s="16" t="str">
        <x:v>https://www.google.com/search?q=Mackinac%20Bridge%20Mackinaw%20City%20Michigan%20official%20website</x:v>
      </x:c>
      <x:c r="J72" s="16" t="str">
        <x:v>https://www.google.com/search?q=site%3Amichigan.org%20Mackinac%20Bridge</x:v>
      </x:c>
      <x:c r="K72" s="16" t="str">
        <x:v>https://www.google.com/search?q=Mackinac%20Bridge%20Mackinaw%20City%20Michigan%20visitor%20information</x:v>
      </x:c>
      <x:c r="L72" s="16" t="str">
        <x:v>https://www.google.com/search?q=Mackinac%20Bridge%20Mackinaw%20City%20Michigan%20photos</x:v>
      </x:c>
      <x:c r="M72" s="16" t="str">
        <x:v>https://www.google.com/search?q=Mackinac%20Bridge%20Mackinaw%20City%20Michigan%20wikipedia%20OR%20wikivoyage</x:v>
      </x:c>
      <x:c r="N72" s="16" t="str">
        <x:v>https://www.google.com/maps/search/?api=1&amp;query=Mackinac%20Bridge%2C%20Mackinaw%20City%2C%20Michigan</x:v>
      </x:c>
      <x:c r="O72" s="17" t="b">
        <x:v>1</x:v>
      </x:c>
      <x:c r="P72" s="16" t="b">
        <x:f>IFERROR(VLOOKUP(A72,States!$A$2:$B$18,2,FALSE),FALSE)</x:f>
        <x:v>1</x:v>
      </x:c>
      <x:c r="Q72" s="16" t="b">
        <x:f>AND(OR(O72=TRUE,O72="TRUE"),OR(P72=TRUE,P72="TRUE"))</x:f>
        <x:v>1</x:v>
      </x:c>
    </x:row>
    <x:row r="73">
      <x:c r="A73" s="16" t="str">
        <x:v>Michigan</x:v>
      </x:c>
      <x:c r="B73" s="16" t="str">
        <x:v>Sault Ste. Marie</x:v>
      </x:c>
      <x:c r="C73" s="16" t="n">
        <x:v>-84.35</x:v>
      </x:c>
      <x:c r="D73" s="16" t="n">
        <x:v>46.502</x:v>
      </x:c>
      <x:c r="E73" s="16" t="str">
        <x:v>Soo Locks</x:v>
      </x:c>
      <x:c r="F73" s="16" t="str">
        <x:v>Families, engineering fans, boat watchers</x:v>
      </x:c>
      <x:c r="G73" s="16" t="str">
        <x:v>Massive ships rise and fall between Lake Superior and lower lakes.</x:v>
      </x:c>
      <x:c r="H73" s="16" t="str">
        <x:v>Engineering</x:v>
      </x:c>
      <x:c r="I73" s="16" t="str">
        <x:v>https://www.google.com/search?q=Soo%20Locks%20Sault%20Ste.%20Marie%20Michigan%20official%20website</x:v>
      </x:c>
      <x:c r="J73" s="16" t="str">
        <x:v>https://www.google.com/search?q=site%3Amichigan.org%20Soo%20Locks</x:v>
      </x:c>
      <x:c r="K73" s="16" t="str">
        <x:v>https://www.google.com/search?q=Soo%20Locks%20Sault%20Ste.%20Marie%20Michigan%20visitor%20information</x:v>
      </x:c>
      <x:c r="L73" s="16" t="str">
        <x:v>https://www.google.com/search?q=Soo%20Locks%20Sault%20Ste.%20Marie%20Michigan%20photos</x:v>
      </x:c>
      <x:c r="M73" s="16" t="str">
        <x:v>https://www.google.com/search?q=Soo%20Locks%20Sault%20Ste.%20Marie%20Michigan%20wikipedia%20OR%20wikivoyage</x:v>
      </x:c>
      <x:c r="N73" s="16" t="str">
        <x:v>https://www.google.com/maps/search/?api=1&amp;query=Soo%20Locks%2C%20Sault%20Ste.%20Marie%2C%20Michigan</x:v>
      </x:c>
      <x:c r="O73" s="17" t="b">
        <x:v>1</x:v>
      </x:c>
      <x:c r="P73" s="16" t="b">
        <x:f>IFERROR(VLOOKUP(A73,States!$A$2:$B$18,2,FALSE),FALSE)</x:f>
        <x:v>1</x:v>
      </x:c>
      <x:c r="Q73" s="16" t="b">
        <x:f>AND(OR(O73=TRUE,O73="TRUE"),OR(P73=TRUE,P73="TRUE"))</x:f>
        <x:v>1</x:v>
      </x:c>
    </x:row>
    <x:row r="74">
      <x:c r="A74" s="16" t="str">
        <x:v>Michigan</x:v>
      </x:c>
      <x:c r="B74" s="16" t="str">
        <x:v>Muskegon</x:v>
      </x:c>
      <x:c r="C74" s="16" t="n">
        <x:v>-86.28</x:v>
      </x:c>
      <x:c r="D74" s="16" t="n">
        <x:v>43.347</x:v>
      </x:c>
      <x:c r="E74" s="16" t="str">
        <x:v>Michigan's Adventure</x:v>
      </x:c>
      <x:c r="F74" s="16" t="str">
        <x:v>Families, thrill seekers</x:v>
      </x:c>
      <x:c r="G74" s="16" t="str">
        <x:v>Michigan's largest amusement park pairs coasters with a water park.</x:v>
      </x:c>
      <x:c r="H74" s="16" t="str">
        <x:v>Theme Park</x:v>
      </x:c>
      <x:c r="I74" s="16" t="str">
        <x:v>https://www.google.com/search?q=Michigan's%20Adventure%20Muskegon%20Michigan%20official%20website</x:v>
      </x:c>
      <x:c r="J74" s="16" t="str">
        <x:v>https://www.google.com/search?q=site%3Amichigan.org%20Michigan's%20Adventure</x:v>
      </x:c>
      <x:c r="K74" s="16" t="str">
        <x:v>https://www.google.com/search?q=Michigan's%20Adventure%20Muskegon%20Michigan%20visitor%20information</x:v>
      </x:c>
      <x:c r="L74" s="16" t="str">
        <x:v>https://www.google.com/search?q=Michigan's%20Adventure%20Muskegon%20Michigan%20photos</x:v>
      </x:c>
      <x:c r="M74" s="16" t="str">
        <x:v>https://www.google.com/search?q=Michigan's%20Adventure%20Muskegon%20Michigan%20wikipedia%20OR%20wikivoyage</x:v>
      </x:c>
      <x:c r="N74" s="16" t="str">
        <x:v>https://www.google.com/maps/search/?api=1&amp;query=Michigan's%20Adventure%2C%20Muskegon%2C%20Michigan</x:v>
      </x:c>
      <x:c r="O74" s="17" t="b">
        <x:v>1</x:v>
      </x:c>
      <x:c r="P74" s="16" t="b">
        <x:f>IFERROR(VLOOKUP(A74,States!$A$2:$B$18,2,FALSE),FALSE)</x:f>
        <x:v>1</x:v>
      </x:c>
      <x:c r="Q74" s="16" t="b">
        <x:f>AND(OR(O74=TRUE,O74="TRUE"),OR(P74=TRUE,P74="TRUE"))</x:f>
        <x:v>1</x:v>
      </x:c>
    </x:row>
    <x:row r="75">
      <x:c r="A75" s="16" t="str">
        <x:v>Michigan</x:v>
      </x:c>
      <x:c r="B75" s="16" t="str">
        <x:v>Detroit</x:v>
      </x:c>
      <x:c r="C75" s="16" t="n">
        <x:v>-82.973</x:v>
      </x:c>
      <x:c r="D75" s="16" t="n">
        <x:v>42.344</x:v>
      </x:c>
      <x:c r="E75" s="16" t="str">
        <x:v>Belle Isle Park</x:v>
      </x:c>
      <x:c r="F75" s="16" t="str">
        <x:v>Families, cyclists, photographers</x:v>
      </x:c>
      <x:c r="G75" s="16" t="str">
        <x:v>Island parkland offers skyline views, aquarium, conservatory, and beaches.</x:v>
      </x:c>
      <x:c r="H75" s="16" t="str">
        <x:v>Urban Park</x:v>
      </x:c>
      <x:c r="I75" s="16" t="str">
        <x:v>https://www.google.com/search?q=Belle%20Isle%20Park%20Detroit%20Michigan%20official%20website</x:v>
      </x:c>
      <x:c r="J75" s="16" t="str">
        <x:v>https://www.google.com/search?q=site%3Amichigan.org%20Belle%20Isle%20Park</x:v>
      </x:c>
      <x:c r="K75" s="16" t="str">
        <x:v>https://www.google.com/search?q=Belle%20Isle%20Park%20Detroit%20Michigan%20visitor%20information</x:v>
      </x:c>
      <x:c r="L75" s="16" t="str">
        <x:v>https://www.google.com/search?q=Belle%20Isle%20Park%20Detroit%20Michigan%20photos</x:v>
      </x:c>
      <x:c r="M75" s="16" t="str">
        <x:v>https://www.google.com/search?q=Belle%20Isle%20Park%20Detroit%20Michigan%20wikipedia%20OR%20wikivoyage</x:v>
      </x:c>
      <x:c r="N75" s="16" t="str">
        <x:v>https://www.google.com/maps/search/?api=1&amp;query=Belle%20Isle%20Park%2C%20Detroit%2C%20Michigan</x:v>
      </x:c>
      <x:c r="O75" s="17" t="b">
        <x:v>1</x:v>
      </x:c>
      <x:c r="P75" s="16" t="b">
        <x:f>IFERROR(VLOOKUP(A75,States!$A$2:$B$18,2,FALSE),FALSE)</x:f>
        <x:v>1</x:v>
      </x:c>
      <x:c r="Q75" s="16" t="b">
        <x:f>AND(OR(O75=TRUE,O75="TRUE"),OR(P75=TRUE,P75="TRUE"))</x:f>
        <x:v>1</x:v>
      </x:c>
    </x:row>
    <x:row r="76">
      <x:c r="A76" s="16" t="str">
        <x:v>Michigan</x:v>
      </x:c>
      <x:c r="B76" s="16" t="str">
        <x:v>Mears</x:v>
      </x:c>
      <x:c r="C76" s="16" t="n">
        <x:v>-86.516</x:v>
      </x:c>
      <x:c r="D76" s="16" t="n">
        <x:v>43.67</x:v>
      </x:c>
      <x:c r="E76" s="16" t="str">
        <x:v>Silver Lake Sand Dunes</x:v>
      </x:c>
      <x:c r="F76" s="16" t="str">
        <x:v>Families, off-roaders, photographers</x:v>
      </x:c>
      <x:c r="G76" s="16" t="str">
        <x:v>Big dunes between inland water and Lake Michigan invite adventure.</x:v>
      </x:c>
      <x:c r="H76" s="16" t="str">
        <x:v>Nature</x:v>
      </x:c>
      <x:c r="I76" s="16" t="str">
        <x:v>https://www.google.com/search?q=Silver%20Lake%20Sand%20Dunes%20Mears%20Michigan%20official%20website</x:v>
      </x:c>
      <x:c r="J76" s="16" t="str">
        <x:v>https://www.google.com/search?q=site%3Amichigan.org%20Silver%20Lake%20Sand%20Dunes</x:v>
      </x:c>
      <x:c r="K76" s="16" t="str">
        <x:v>https://www.google.com/search?q=Silver%20Lake%20Sand%20Dunes%20Mears%20Michigan%20visitor%20information</x:v>
      </x:c>
      <x:c r="L76" s="16" t="str">
        <x:v>https://www.google.com/search?q=Silver%20Lake%20Sand%20Dunes%20Mears%20Michigan%20photos</x:v>
      </x:c>
      <x:c r="M76" s="16" t="str">
        <x:v>https://www.google.com/search?q=Silver%20Lake%20Sand%20Dunes%20Mears%20Michigan%20wikipedia%20OR%20wikivoyage</x:v>
      </x:c>
      <x:c r="N76" s="16" t="str">
        <x:v>https://www.google.com/maps/search/?api=1&amp;query=Silver%20Lake%20Sand%20Dunes%2C%20Mears%2C%20Michigan</x:v>
      </x:c>
      <x:c r="O76" s="17" t="b">
        <x:v>1</x:v>
      </x:c>
      <x:c r="P76" s="16" t="b">
        <x:f>IFERROR(VLOOKUP(A76,States!$A$2:$B$18,2,FALSE),FALSE)</x:f>
        <x:v>1</x:v>
      </x:c>
      <x:c r="Q76" s="16" t="b">
        <x:f>AND(OR(O76=TRUE,O76="TRUE"),OR(P76=TRUE,P76="TRUE"))</x:f>
        <x:v>1</x:v>
      </x:c>
    </x:row>
    <x:row r="77">
      <x:c r="A77" s="16" t="str">
        <x:v>Michigan</x:v>
      </x:c>
      <x:c r="B77" s="16" t="str">
        <x:v>Manistique</x:v>
      </x:c>
      <x:c r="C77" s="16" t="n">
        <x:v>-86.015</x:v>
      </x:c>
      <x:c r="D77" s="16" t="n">
        <x:v>46.005</x:v>
      </x:c>
      <x:c r="E77" s="16" t="str">
        <x:v>Kitch-iti-kipi</x:v>
      </x:c>
      <x:c r="F77" s="16" t="str">
        <x:v>Families, photographers</x:v>
      </x:c>
      <x:c r="G77" s="16" t="str">
        <x:v>A clear spring reveals vivid water and moving views from a raft.</x:v>
      </x:c>
      <x:c r="H77" s="16" t="str">
        <x:v>Nature</x:v>
      </x:c>
      <x:c r="I77" s="16" t="str">
        <x:v>https://www.google.com/search?q=Kitch-iti-kipi%20Manistique%20Michigan%20official%20website</x:v>
      </x:c>
      <x:c r="J77" s="16" t="str">
        <x:v>https://www.google.com/search?q=site%3Amichigan.org%20Kitch-iti-kipi</x:v>
      </x:c>
      <x:c r="K77" s="16" t="str">
        <x:v>https://www.google.com/search?q=Kitch-iti-kipi%20Manistique%20Michigan%20visitor%20information</x:v>
      </x:c>
      <x:c r="L77" s="16" t="str">
        <x:v>https://www.google.com/search?q=Kitch-iti-kipi%20Manistique%20Michigan%20photos</x:v>
      </x:c>
      <x:c r="M77" s="16" t="str">
        <x:v>https://www.google.com/search?q=Kitch-iti-kipi%20Manistique%20Michigan%20wikipedia%20OR%20wikivoyage</x:v>
      </x:c>
      <x:c r="N77" s="16" t="str">
        <x:v>https://www.google.com/maps/search/?api=1&amp;query=Kitch-iti-kipi%2C%20Manistique%2C%20Michigan</x:v>
      </x:c>
      <x:c r="O77" s="17" t="b">
        <x:v>1</x:v>
      </x:c>
      <x:c r="P77" s="16" t="b">
        <x:f>IFERROR(VLOOKUP(A77,States!$A$2:$B$18,2,FALSE),FALSE)</x:f>
        <x:v>1</x:v>
      </x:c>
      <x:c r="Q77" s="16" t="b">
        <x:f>AND(OR(O77=TRUE,O77="TRUE"),OR(P77=TRUE,P77="TRUE"))</x:f>
        <x:v>1</x:v>
      </x:c>
    </x:row>
    <x:row r="78">
      <x:c r="A78" s="16" t="str">
        <x:v>Michigan</x:v>
      </x:c>
      <x:c r="B78" s="16" t="str">
        <x:v>Ontonagon</x:v>
      </x:c>
      <x:c r="C78" s="16" t="n">
        <x:v>-89.746</x:v>
      </x:c>
      <x:c r="D78" s="16" t="n">
        <x:v>46.809</x:v>
      </x:c>
      <x:c r="E78" s="16" t="str">
        <x:v>Porcupine Mountains Wilderness State Park</x:v>
      </x:c>
      <x:c r="F78" s="16" t="str">
        <x:v>Hikers, backpackers, photographers</x:v>
      </x:c>
      <x:c r="G78" s="16" t="str">
        <x:v>Old-growth forest, Lake of the Clouds, and Superior shorelines feel remote.</x:v>
      </x:c>
      <x:c r="H78" s="16" t="str">
        <x:v>Nature</x:v>
      </x:c>
      <x:c r="I78" s="16" t="str">
        <x:v>https://www.google.com/search?q=Porcupine%20Mountains%20Wilderness%20State%20Park%20Ontonagon%20Michigan%20official%20website</x:v>
      </x:c>
      <x:c r="J78" s="16" t="str">
        <x:v>https://www.google.com/search?q=site%3Amichigan.org%20Porcupine%20Mountains%20Wilderness%20State%20Park</x:v>
      </x:c>
      <x:c r="K78" s="16" t="str">
        <x:v>https://www.google.com/search?q=Porcupine%20Mountains%20Wilderness%20State%20Park%20Ontonagon%20Michigan%20visitor%20information</x:v>
      </x:c>
      <x:c r="L78" s="16" t="str">
        <x:v>https://www.google.com/search?q=Porcupine%20Mountains%20Wilderness%20State%20Park%20Ontonagon%20Michigan%20photos</x:v>
      </x:c>
      <x:c r="M78" s="16" t="str">
        <x:v>https://www.google.com/search?q=Porcupine%20Mountains%20Wilderness%20State%20Park%20Ontonagon%20Michigan%20wikipedia%20OR%20wikivoyage</x:v>
      </x:c>
      <x:c r="N78" s="16" t="str">
        <x:v>https://www.google.com/maps/search/?api=1&amp;query=Porcupine%20Mountains%20Wilderness%20State%20Park%2C%20Ontonagon%2C%20Michigan</x:v>
      </x:c>
      <x:c r="O78" s="17" t="b">
        <x:v>1</x:v>
      </x:c>
      <x:c r="P78" s="16" t="b">
        <x:f>IFERROR(VLOOKUP(A78,States!$A$2:$B$18,2,FALSE),FALSE)</x:f>
        <x:v>1</x:v>
      </x:c>
      <x:c r="Q78" s="16" t="b">
        <x:f>AND(OR(O78=TRUE,O78="TRUE"),OR(P78=TRUE,P78="TRUE"))</x:f>
        <x:v>1</x:v>
      </x:c>
    </x:row>
    <x:row r="79">
      <x:c r="A79" s="16" t="str">
        <x:v>Michigan</x:v>
      </x:c>
      <x:c r="B79" s="16" t="str">
        <x:v>Holland</x:v>
      </x:c>
      <x:c r="C79" s="16" t="n">
        <x:v>-86.208</x:v>
      </x:c>
      <x:c r="D79" s="16" t="n">
        <x:v>42.772</x:v>
      </x:c>
      <x:c r="E79" s="16" t="str">
        <x:v>Holland State Park</x:v>
      </x:c>
      <x:c r="F79" s="16" t="str">
        <x:v>Beachgoers, families</x:v>
      </x:c>
      <x:c r="G79" s="16" t="str">
        <x:v>Lake Michigan beach access and Big Red lighthouse make an easy stop.</x:v>
      </x:c>
      <x:c r="H79" s="16" t="str">
        <x:v>Beach</x:v>
      </x:c>
      <x:c r="I79" s="16" t="str">
        <x:v>https://www.google.com/search?q=Holland%20State%20Park%20Holland%20Michigan%20official%20website</x:v>
      </x:c>
      <x:c r="J79" s="16" t="str">
        <x:v>https://www.google.com/search?q=site%3Amichigan.org%20Holland%20State%20Park</x:v>
      </x:c>
      <x:c r="K79" s="16" t="str">
        <x:v>https://www.google.com/search?q=Holland%20State%20Park%20Holland%20Michigan%20visitor%20information</x:v>
      </x:c>
      <x:c r="L79" s="16" t="str">
        <x:v>https://www.google.com/search?q=Holland%20State%20Park%20Holland%20Michigan%20photos</x:v>
      </x:c>
      <x:c r="M79" s="16" t="str">
        <x:v>https://www.google.com/search?q=Holland%20State%20Park%20Holland%20Michigan%20wikipedia%20OR%20wikivoyage</x:v>
      </x:c>
      <x:c r="N79" s="16" t="str">
        <x:v>https://www.google.com/maps/search/?api=1&amp;query=Holland%20State%20Park%2C%20Holland%2C%20Michigan</x:v>
      </x:c>
      <x:c r="O79" s="17" t="b">
        <x:v>1</x:v>
      </x:c>
      <x:c r="P79" s="16" t="b">
        <x:f>IFERROR(VLOOKUP(A79,States!$A$2:$B$18,2,FALSE),FALSE)</x:f>
        <x:v>1</x:v>
      </x:c>
      <x:c r="Q79" s="16" t="b">
        <x:f>AND(OR(O79=TRUE,O79="TRUE"),OR(P79=TRUE,P79="TRUE"))</x:f>
        <x:v>1</x:v>
      </x:c>
    </x:row>
    <x:row r="80">
      <x:c r="A80" s="16" t="str">
        <x:v>Michigan</x:v>
      </x:c>
      <x:c r="B80" s="16" t="str">
        <x:v>Frankenmuth</x:v>
      </x:c>
      <x:c r="C80" s="16" t="n">
        <x:v>-83.738</x:v>
      </x:c>
      <x:c r="D80" s="16" t="n">
        <x:v>43.331</x:v>
      </x:c>
      <x:c r="E80" s="16" t="str">
        <x:v>Frankenmuth</x:v>
      </x:c>
      <x:c r="F80" s="16" t="str">
        <x:v>Families, food lovers</x:v>
      </x:c>
      <x:c r="G80" s="16" t="str">
        <x:v>Bavarian-style streets, chicken dinners, and holiday shopping are crowd pleasers.</x:v>
      </x:c>
      <x:c r="H80" s="16" t="str">
        <x:v>Scenic Town</x:v>
      </x:c>
      <x:c r="I80" s="16" t="str">
        <x:v>https://www.google.com/search?q=Frankenmuth%20Frankenmuth%20Michigan%20official%20website</x:v>
      </x:c>
      <x:c r="J80" s="16" t="str">
        <x:v>https://www.google.com/search?q=site%3Amichigan.org%20Frankenmuth</x:v>
      </x:c>
      <x:c r="K80" s="16" t="str">
        <x:v>https://www.google.com/search?q=Frankenmuth%20Frankenmuth%20Michigan%20visitor%20information</x:v>
      </x:c>
      <x:c r="L80" s="16" t="str">
        <x:v>https://www.google.com/search?q=Frankenmuth%20Frankenmuth%20Michigan%20photos</x:v>
      </x:c>
      <x:c r="M80" s="16" t="str">
        <x:v>https://www.google.com/search?q=Frankenmuth%20Frankenmuth%20Michigan%20wikipedia%20OR%20wikivoyage</x:v>
      </x:c>
      <x:c r="N80" s="16" t="str">
        <x:v>https://www.google.com/maps/search/?api=1&amp;query=Frankenmuth%2C%20Frankenmuth%2C%20Michigan</x:v>
      </x:c>
      <x:c r="O80" s="17" t="b">
        <x:v>1</x:v>
      </x:c>
      <x:c r="P80" s="16" t="b">
        <x:f>IFERROR(VLOOKUP(A80,States!$A$2:$B$18,2,FALSE),FALSE)</x:f>
        <x:v>1</x:v>
      </x:c>
      <x:c r="Q80" s="16" t="b">
        <x:f>AND(OR(O80=TRUE,O80="TRUE"),OR(P80=TRUE,P80="TRUE"))</x:f>
        <x:v>1</x:v>
      </x:c>
    </x:row>
    <x:row r="81">
      <x:c r="A81" s="16" t="str">
        <x:v>Michigan</x:v>
      </x:c>
      <x:c r="B81" s="16" t="str">
        <x:v>Detroit</x:v>
      </x:c>
      <x:c r="C81" s="16" t="n">
        <x:v>-83.043</x:v>
      </x:c>
      <x:c r="D81" s="16" t="n">
        <x:v>42.331</x:v>
      </x:c>
      <x:c r="E81" s="16" t="str">
        <x:v>Detroit Riverwalk</x:v>
      </x:c>
      <x:c r="F81" s="16" t="str">
        <x:v>Walkers, families, city explorers</x:v>
      </x:c>
      <x:c r="G81" s="16" t="str">
        <x:v>Waterfront paths connect parks, public art, skyline views, and restaurants.</x:v>
      </x:c>
      <x:c r="H81" s="16" t="str">
        <x:v>Waterfront</x:v>
      </x:c>
      <x:c r="I81" s="16" t="str">
        <x:v>https://www.google.com/search?q=Detroit%20Riverwalk%20Detroit%20Michigan%20official%20website</x:v>
      </x:c>
      <x:c r="J81" s="16" t="str">
        <x:v>https://www.google.com/search?q=site%3Amichigan.org%20Detroit%20Riverwalk</x:v>
      </x:c>
      <x:c r="K81" s="16" t="str">
        <x:v>https://www.google.com/search?q=Detroit%20Riverwalk%20Detroit%20Michigan%20visitor%20information</x:v>
      </x:c>
      <x:c r="L81" s="16" t="str">
        <x:v>https://www.google.com/search?q=Detroit%20Riverwalk%20Detroit%20Michigan%20photos</x:v>
      </x:c>
      <x:c r="M81" s="16" t="str">
        <x:v>https://www.google.com/search?q=Detroit%20Riverwalk%20Detroit%20Michigan%20wikipedia%20OR%20wikivoyage</x:v>
      </x:c>
      <x:c r="N81" s="16" t="str">
        <x:v>https://www.google.com/maps/search/?api=1&amp;query=Detroit%20Riverwalk%2C%20Detroit%2C%20Michigan</x:v>
      </x:c>
      <x:c r="O81" s="17" t="b">
        <x:v>1</x:v>
      </x:c>
      <x:c r="P81" s="16" t="b">
        <x:f>IFERROR(VLOOKUP(A81,States!$A$2:$B$18,2,FALSE),FALSE)</x:f>
        <x:v>1</x:v>
      </x:c>
      <x:c r="Q81" s="16" t="b">
        <x:f>AND(OR(O81=TRUE,O81="TRUE"),OR(P81=TRUE,P81="TRUE"))</x:f>
        <x:v>1</x:v>
      </x:c>
    </x:row>
    <x:row r="82">
      <x:c r="A82" s="16" t="str">
        <x:v>Indiana</x:v>
      </x:c>
      <x:c r="B82" s="16" t="str">
        <x:v>Porter</x:v>
      </x:c>
      <x:c r="C82" s="16" t="n">
        <x:v>-87.096</x:v>
      </x:c>
      <x:c r="D82" s="16" t="n">
        <x:v>41.653</x:v>
      </x:c>
      <x:c r="E82" s="16" t="str">
        <x:v>Indiana Dunes National Park</x:v>
      </x:c>
      <x:c r="F82" s="16" t="str">
        <x:v>Beachgoers, hikers, birders</x:v>
      </x:c>
      <x:c r="G82" s="16" t="str">
        <x:v>Lake Michigan dunes, beaches, and wetlands create surprising variety.</x:v>
      </x:c>
      <x:c r="H82" s="16" t="str">
        <x:v>National Park</x:v>
      </x:c>
      <x:c r="I82" s="16" t="str">
        <x:v>https://www.google.com/search?q=Indiana%20Dunes%20National%20Park%20Porter%20Indiana%20official%20website</x:v>
      </x:c>
      <x:c r="J82" s="16" t="str">
        <x:v>https://www.google.com/search?q=site%3Avisitindiana.com%20Indiana%20Dunes%20National%20Park</x:v>
      </x:c>
      <x:c r="K82" s="16" t="str">
        <x:v>https://www.google.com/search?q=Indiana%20Dunes%20National%20Park%20Porter%20Indiana%20visitor%20information</x:v>
      </x:c>
      <x:c r="L82" s="16" t="str">
        <x:v>https://www.google.com/search?q=Indiana%20Dunes%20National%20Park%20Porter%20Indiana%20photos</x:v>
      </x:c>
      <x:c r="M82" s="16" t="str">
        <x:v>https://www.google.com/search?q=site%3Anps.gov%20Indiana%20Dunes%20National%20Park</x:v>
      </x:c>
      <x:c r="N82" s="16" t="str">
        <x:v>https://www.google.com/maps/search/?api=1&amp;query=Indiana%20Dunes%20National%20Park%2C%20Porter%2C%20Indiana</x:v>
      </x:c>
      <x:c r="O82" s="17" t="b">
        <x:v>1</x:v>
      </x:c>
      <x:c r="P82" s="16" t="b">
        <x:f>IFERROR(VLOOKUP(A82,States!$A$2:$B$18,2,FALSE),FALSE)</x:f>
        <x:v>1</x:v>
      </x:c>
      <x:c r="Q82" s="16" t="b">
        <x:f>AND(OR(O82=TRUE,O82="TRUE"),OR(P82=TRUE,P82="TRUE"))</x:f>
        <x:v>1</x:v>
      </x:c>
    </x:row>
    <x:row r="83">
      <x:c r="A83" s="16" t="str">
        <x:v>Indiana</x:v>
      </x:c>
      <x:c r="B83" s="16" t="str">
        <x:v>Indianapolis</x:v>
      </x:c>
      <x:c r="C83" s="16" t="n">
        <x:v>-86.157</x:v>
      </x:c>
      <x:c r="D83" s="16" t="n">
        <x:v>39.811</x:v>
      </x:c>
      <x:c r="E83" s="16" t="str">
        <x:v>Children's Museum of Indianapolis</x:v>
      </x:c>
      <x:c r="F83" s="16" t="str">
        <x:v>Families, kids</x:v>
      </x:c>
      <x:c r="G83" s="16" t="str">
        <x:v>A huge interactive museum blends science, culture, and play.</x:v>
      </x:c>
      <x:c r="H83" s="16" t="str">
        <x:v>Museum</x:v>
      </x:c>
      <x:c r="I83" s="16" t="str">
        <x:v>https://www.google.com/search?q=Children's%20Museum%20of%20Indianapolis%20Indianapolis%20Indiana%20official%20website</x:v>
      </x:c>
      <x:c r="J83" s="16" t="str">
        <x:v>https://www.google.com/search?q=site%3Avisitindiana.com%20Children's%20Museum%20of%20Indianapolis</x:v>
      </x:c>
      <x:c r="K83" s="16" t="str">
        <x:v>https://www.google.com/search?q=Children's%20Museum%20of%20Indianapolis%20Indianapolis%20Indiana%20visitor%20information</x:v>
      </x:c>
      <x:c r="L83" s="16" t="str">
        <x:v>https://www.google.com/search?q=Children's%20Museum%20of%20Indianapolis%20Indianapolis%20Indiana%20photos</x:v>
      </x:c>
      <x:c r="M83" s="16" t="str">
        <x:v>https://www.google.com/search?q=Children's%20Museum%20of%20Indianapolis%20Indianapolis%20Indiana%20wikipedia%20OR%20wikivoyage</x:v>
      </x:c>
      <x:c r="N83" s="16" t="str">
        <x:v>https://www.google.com/maps/search/?api=1&amp;query=Children's%20Museum%20of%20Indianapolis%2C%20Indianapolis%2C%20Indiana</x:v>
      </x:c>
      <x:c r="O83" s="17" t="b">
        <x:v>1</x:v>
      </x:c>
      <x:c r="P83" s="16" t="b">
        <x:f>IFERROR(VLOOKUP(A83,States!$A$2:$B$18,2,FALSE),FALSE)</x:f>
        <x:v>1</x:v>
      </x:c>
      <x:c r="Q83" s="16" t="b">
        <x:f>AND(OR(O83=TRUE,O83="TRUE"),OR(P83=TRUE,P83="TRUE"))</x:f>
        <x:v>1</x:v>
      </x:c>
    </x:row>
    <x:row r="84">
      <x:c r="A84" s="16" t="str">
        <x:v>Indiana</x:v>
      </x:c>
      <x:c r="B84" s="16" t="str">
        <x:v>Speedway</x:v>
      </x:c>
      <x:c r="C84" s="16" t="n">
        <x:v>-86.235</x:v>
      </x:c>
      <x:c r="D84" s="16" t="n">
        <x:v>39.795</x:v>
      </x:c>
      <x:c r="E84" s="16" t="str">
        <x:v>Indianapolis Motor Speedway Museum</x:v>
      </x:c>
      <x:c r="F84" s="16" t="str">
        <x:v>Racing fans, families</x:v>
      </x:c>
      <x:c r="G84" s="16" t="str">
        <x:v>The track and museum anchor IndyCar racing history.</x:v>
      </x:c>
      <x:c r="H84" s="16" t="str">
        <x:v>Sports</x:v>
      </x:c>
      <x:c r="I84" s="16" t="str">
        <x:v>https://www.google.com/search?q=Indianapolis%20Motor%20Speedway%20Museum%20Speedway%20Indiana%20official%20website</x:v>
      </x:c>
      <x:c r="J84" s="16" t="str">
        <x:v>https://www.google.com/search?q=site%3Avisitindiana.com%20Indianapolis%20Motor%20Speedway%20Museum</x:v>
      </x:c>
      <x:c r="K84" s="16" t="str">
        <x:v>https://www.google.com/search?q=Indianapolis%20Motor%20Speedway%20Museum%20Speedway%20Indiana%20visitor%20information</x:v>
      </x:c>
      <x:c r="L84" s="16" t="str">
        <x:v>https://www.google.com/search?q=Indianapolis%20Motor%20Speedway%20Museum%20Speedway%20Indiana%20photos</x:v>
      </x:c>
      <x:c r="M84" s="16" t="str">
        <x:v>https://www.google.com/search?q=Indianapolis%20Motor%20Speedway%20Museum%20Speedway%20Indiana%20wikipedia%20OR%20wikivoyage</x:v>
      </x:c>
      <x:c r="N84" s="16" t="str">
        <x:v>https://www.google.com/maps/search/?api=1&amp;query=Indianapolis%20Motor%20Speedway%20Museum%2C%20Speedway%2C%20Indiana</x:v>
      </x:c>
      <x:c r="O84" s="17" t="b">
        <x:v>1</x:v>
      </x:c>
      <x:c r="P84" s="16" t="b">
        <x:f>IFERROR(VLOOKUP(A84,States!$A$2:$B$18,2,FALSE),FALSE)</x:f>
        <x:v>1</x:v>
      </x:c>
      <x:c r="Q84" s="16" t="b">
        <x:f>AND(OR(O84=TRUE,O84="TRUE"),OR(P84=TRUE,P84="TRUE"))</x:f>
        <x:v>1</x:v>
      </x:c>
    </x:row>
    <x:row r="85">
      <x:c r="A85" s="16" t="str">
        <x:v>Indiana</x:v>
      </x:c>
      <x:c r="B85" s="16" t="str">
        <x:v>Santa Claus</x:v>
      </x:c>
      <x:c r="C85" s="16" t="n">
        <x:v>-86.915</x:v>
      </x:c>
      <x:c r="D85" s="16" t="n">
        <x:v>38.12</x:v>
      </x:c>
      <x:c r="E85" s="16" t="str">
        <x:v>Holiday World and Splashin' Safari</x:v>
      </x:c>
      <x:c r="F85" s="16" t="str">
        <x:v>Families, thrill seekers</x:v>
      </x:c>
      <x:c r="G85" s="16" t="str">
        <x:v>A friendly theme park adds a standout water park.</x:v>
      </x:c>
      <x:c r="H85" s="16" t="str">
        <x:v>Theme Park</x:v>
      </x:c>
      <x:c r="I85" s="16" t="str">
        <x:v>https://www.google.com/search?q=Holiday%20World%20and%20Splashin'%20Safari%20Santa%20Claus%20Indiana%20official%20website</x:v>
      </x:c>
      <x:c r="J85" s="16" t="str">
        <x:v>https://www.google.com/search?q=site%3Avisitindiana.com%20Holiday%20World%20and%20Splashin'%20Safari</x:v>
      </x:c>
      <x:c r="K85" s="16" t="str">
        <x:v>https://www.google.com/search?q=Holiday%20World%20and%20Splashin'%20Safari%20Santa%20Claus%20Indiana%20visitor%20information</x:v>
      </x:c>
      <x:c r="L85" s="16" t="str">
        <x:v>https://www.google.com/search?q=Holiday%20World%20and%20Splashin'%20Safari%20Santa%20Claus%20Indiana%20photos</x:v>
      </x:c>
      <x:c r="M85" s="16" t="str">
        <x:v>https://www.google.com/search?q=Holiday%20World%20and%20Splashin'%20Safari%20Santa%20Claus%20Indiana%20wikipedia%20OR%20wikivoyage</x:v>
      </x:c>
      <x:c r="N85" s="16" t="str">
        <x:v>https://www.google.com/maps/search/?api=1&amp;query=Holiday%20World%20and%20Splashin'%20Safari%2C%20Santa%20Claus%2C%20Indiana</x:v>
      </x:c>
      <x:c r="O85" s="17" t="b">
        <x:v>1</x:v>
      </x:c>
      <x:c r="P85" s="16" t="b">
        <x:f>IFERROR(VLOOKUP(A85,States!$A$2:$B$18,2,FALSE),FALSE)</x:f>
        <x:v>1</x:v>
      </x:c>
      <x:c r="Q85" s="16" t="b">
        <x:f>AND(OR(O85=TRUE,O85="TRUE"),OR(P85=TRUE,P85="TRUE"))</x:f>
        <x:v>1</x:v>
      </x:c>
    </x:row>
    <x:row r="86">
      <x:c r="A86" s="16" t="str">
        <x:v>Indiana</x:v>
      </x:c>
      <x:c r="B86" s="16" t="str">
        <x:v>Marshall</x:v>
      </x:c>
      <x:c r="C86" s="16" t="n">
        <x:v>-87.206</x:v>
      </x:c>
      <x:c r="D86" s="16" t="n">
        <x:v>39.888</x:v>
      </x:c>
      <x:c r="E86" s="16" t="str">
        <x:v>Turkey Run State Park</x:v>
      </x:c>
      <x:c r="F86" s="16" t="str">
        <x:v>Hikers, families</x:v>
      </x:c>
      <x:c r="G86" s="16" t="str">
        <x:v>Sandstone ravines and ladders make short trails memorable.</x:v>
      </x:c>
      <x:c r="H86" s="16" t="str">
        <x:v>Nature</x:v>
      </x:c>
      <x:c r="I86" s="16" t="str">
        <x:v>https://www.google.com/search?q=Turkey%20Run%20State%20Park%20Marshall%20Indiana%20official%20website</x:v>
      </x:c>
      <x:c r="J86" s="16" t="str">
        <x:v>https://www.google.com/search?q=site%3Avisitindiana.com%20Turkey%20Run%20State%20Park</x:v>
      </x:c>
      <x:c r="K86" s="16" t="str">
        <x:v>https://www.google.com/search?q=Turkey%20Run%20State%20Park%20Marshall%20Indiana%20visitor%20information</x:v>
      </x:c>
      <x:c r="L86" s="16" t="str">
        <x:v>https://www.google.com/search?q=Turkey%20Run%20State%20Park%20Marshall%20Indiana%20photos</x:v>
      </x:c>
      <x:c r="M86" s="16" t="str">
        <x:v>https://www.google.com/search?q=Turkey%20Run%20State%20Park%20Marshall%20Indiana%20wikipedia%20OR%20wikivoyage</x:v>
      </x:c>
      <x:c r="N86" s="16" t="str">
        <x:v>https://www.google.com/maps/search/?api=1&amp;query=Turkey%20Run%20State%20Park%2C%20Marshall%2C%20Indiana</x:v>
      </x:c>
      <x:c r="O86" s="17" t="b">
        <x:v>1</x:v>
      </x:c>
      <x:c r="P86" s="16" t="b">
        <x:f>IFERROR(VLOOKUP(A86,States!$A$2:$B$18,2,FALSE),FALSE)</x:f>
        <x:v>1</x:v>
      </x:c>
      <x:c r="Q86" s="16" t="b">
        <x:f>AND(OR(O86=TRUE,O86="TRUE"),OR(P86=TRUE,P86="TRUE"))</x:f>
        <x:v>1</x:v>
      </x:c>
    </x:row>
    <x:row r="87">
      <x:c r="A87" s="16" t="str">
        <x:v>Indiana</x:v>
      </x:c>
      <x:c r="B87" s="16" t="str">
        <x:v>Nashville</x:v>
      </x:c>
      <x:c r="C87" s="16" t="n">
        <x:v>-86.23</x:v>
      </x:c>
      <x:c r="D87" s="16" t="n">
        <x:v>39.183</x:v>
      </x:c>
      <x:c r="E87" s="16" t="str">
        <x:v>Brown County State Park</x:v>
      </x:c>
      <x:c r="F87" s="16" t="str">
        <x:v>Hikers, leaf peepers, couples</x:v>
      </x:c>
      <x:c r="G87" s="16" t="str">
        <x:v>Rolling hills and fall color make it Indiana's classic scenic park.</x:v>
      </x:c>
      <x:c r="H87" s="16" t="str">
        <x:v>Nature</x:v>
      </x:c>
      <x:c r="I87" s="16" t="str">
        <x:v>https://www.google.com/search?q=Brown%20County%20State%20Park%20Nashville%20Indiana%20official%20website</x:v>
      </x:c>
      <x:c r="J87" s="16" t="str">
        <x:v>https://www.google.com/search?q=site%3Avisitindiana.com%20Brown%20County%20State%20Park</x:v>
      </x:c>
      <x:c r="K87" s="16" t="str">
        <x:v>https://www.google.com/search?q=Brown%20County%20State%20Park%20Nashville%20Indiana%20visitor%20information</x:v>
      </x:c>
      <x:c r="L87" s="16" t="str">
        <x:v>https://www.google.com/search?q=Brown%20County%20State%20Park%20Nashville%20Indiana%20photos</x:v>
      </x:c>
      <x:c r="M87" s="16" t="str">
        <x:v>https://www.google.com/search?q=Brown%20County%20State%20Park%20Nashville%20Indiana%20wikipedia%20OR%20wikivoyage</x:v>
      </x:c>
      <x:c r="N87" s="16" t="str">
        <x:v>https://www.google.com/maps/search/?api=1&amp;query=Brown%20County%20State%20Park%2C%20Nashville%2C%20Indiana</x:v>
      </x:c>
      <x:c r="O87" s="17" t="b">
        <x:v>1</x:v>
      </x:c>
      <x:c r="P87" s="16" t="b">
        <x:f>IFERROR(VLOOKUP(A87,States!$A$2:$B$18,2,FALSE),FALSE)</x:f>
        <x:v>1</x:v>
      </x:c>
      <x:c r="Q87" s="16" t="b">
        <x:f>AND(OR(O87=TRUE,O87="TRUE"),OR(P87=TRUE,P87="TRUE"))</x:f>
        <x:v>1</x:v>
      </x:c>
    </x:row>
    <x:row r="88">
      <x:c r="A88" s="16" t="str">
        <x:v>Indiana</x:v>
      </x:c>
      <x:c r="B88" s="16" t="str">
        <x:v>Fishers</x:v>
      </x:c>
      <x:c r="C88" s="16" t="n">
        <x:v>-86.018</x:v>
      </x:c>
      <x:c r="D88" s="16" t="n">
        <x:v>39.983</x:v>
      </x:c>
      <x:c r="E88" s="16" t="str">
        <x:v>Conner Prairie</x:v>
      </x:c>
      <x:c r="F88" s="16" t="str">
        <x:v>Families, history buffs</x:v>
      </x:c>
      <x:c r="G88" s="16" t="str">
        <x:v>Living-history exhibits make frontier and aviation stories interactive.</x:v>
      </x:c>
      <x:c r="H88" s="16" t="str">
        <x:v>Living History</x:v>
      </x:c>
      <x:c r="I88" s="16" t="str">
        <x:v>https://www.google.com/search?q=Conner%20Prairie%20Fishers%20Indiana%20official%20website</x:v>
      </x:c>
      <x:c r="J88" s="16" t="str">
        <x:v>https://www.google.com/search?q=site%3Avisitindiana.com%20Conner%20Prairie</x:v>
      </x:c>
      <x:c r="K88" s="16" t="str">
        <x:v>https://www.google.com/search?q=Conner%20Prairie%20Fishers%20Indiana%20visitor%20information</x:v>
      </x:c>
      <x:c r="L88" s="16" t="str">
        <x:v>https://www.google.com/search?q=Conner%20Prairie%20Fishers%20Indiana%20photos</x:v>
      </x:c>
      <x:c r="M88" s="16" t="str">
        <x:v>https://www.google.com/search?q=Conner%20Prairie%20Fishers%20Indiana%20wikipedia%20OR%20wikivoyage</x:v>
      </x:c>
      <x:c r="N88" s="16" t="str">
        <x:v>https://www.google.com/maps/search/?api=1&amp;query=Conner%20Prairie%2C%20Fishers%2C%20Indiana</x:v>
      </x:c>
      <x:c r="O88" s="17" t="b">
        <x:v>1</x:v>
      </x:c>
      <x:c r="P88" s="16" t="b">
        <x:f>IFERROR(VLOOKUP(A88,States!$A$2:$B$18,2,FALSE),FALSE)</x:f>
        <x:v>1</x:v>
      </x:c>
      <x:c r="Q88" s="16" t="b">
        <x:f>AND(OR(O88=TRUE,O88="TRUE"),OR(P88=TRUE,P88="TRUE"))</x:f>
        <x:v>1</x:v>
      </x:c>
    </x:row>
    <x:row r="89">
      <x:c r="A89" s="16" t="str">
        <x:v>Indiana</x:v>
      </x:c>
      <x:c r="B89" s="16" t="str">
        <x:v>Fort Wayne</x:v>
      </x:c>
      <x:c r="C89" s="16" t="n">
        <x:v>-85.145</x:v>
      </x:c>
      <x:c r="D89" s="16" t="n">
        <x:v>41.106</x:v>
      </x:c>
      <x:c r="E89" s="16" t="str">
        <x:v>Fort Wayne Children's Zoo</x:v>
      </x:c>
      <x:c r="F89" s="16" t="str">
        <x:v>Families, animal lovers</x:v>
      </x:c>
      <x:c r="G89" s="16" t="str">
        <x:v>Compact, high-quality habitats make it especially good with kids.</x:v>
      </x:c>
      <x:c r="H89" s="16" t="str">
        <x:v>Zoo/Aquarium</x:v>
      </x:c>
      <x:c r="I89" s="16" t="str">
        <x:v>https://www.google.com/search?q=Fort%20Wayne%20Children's%20Zoo%20Fort%20Wayne%20Indiana%20official%20website</x:v>
      </x:c>
      <x:c r="J89" s="16" t="str">
        <x:v>https://www.google.com/search?q=site%3Avisitindiana.com%20Fort%20Wayne%20Children's%20Zoo</x:v>
      </x:c>
      <x:c r="K89" s="16" t="str">
        <x:v>https://www.google.com/search?q=Fort%20Wayne%20Children's%20Zoo%20Fort%20Wayne%20Indiana%20visitor%20information</x:v>
      </x:c>
      <x:c r="L89" s="16" t="str">
        <x:v>https://www.google.com/search?q=Fort%20Wayne%20Children's%20Zoo%20Fort%20Wayne%20Indiana%20photos</x:v>
      </x:c>
      <x:c r="M89" s="16" t="str">
        <x:v>https://www.google.com/search?q=Fort%20Wayne%20Children's%20Zoo%20Fort%20Wayne%20Indiana%20wikipedia%20OR%20wikivoyage</x:v>
      </x:c>
      <x:c r="N89" s="16" t="str">
        <x:v>https://www.google.com/maps/search/?api=1&amp;query=Fort%20Wayne%20Children's%20Zoo%2C%20Fort%20Wayne%2C%20Indiana</x:v>
      </x:c>
      <x:c r="O89" s="17" t="b">
        <x:v>1</x:v>
      </x:c>
      <x:c r="P89" s="16" t="b">
        <x:f>IFERROR(VLOOKUP(A89,States!$A$2:$B$18,2,FALSE),FALSE)</x:f>
        <x:v>1</x:v>
      </x:c>
      <x:c r="Q89" s="16" t="b">
        <x:f>AND(OR(O89=TRUE,O89="TRUE"),OR(P89=TRUE,P89="TRUE"))</x:f>
        <x:v>1</x:v>
      </x:c>
    </x:row>
    <x:row r="90">
      <x:c r="A90" s="16" t="str">
        <x:v>Indiana</x:v>
      </x:c>
      <x:c r="B90" s="16" t="str">
        <x:v>Indianapolis</x:v>
      </x:c>
      <x:c r="C90" s="16" t="n">
        <x:v>-86.18</x:v>
      </x:c>
      <x:c r="D90" s="16" t="n">
        <x:v>39.768</x:v>
      </x:c>
      <x:c r="E90" s="16" t="str">
        <x:v>Indianapolis Zoo</x:v>
      </x:c>
      <x:c r="F90" s="16" t="str">
        <x:v>Families, animal lovers</x:v>
      </x:c>
      <x:c r="G90" s="16" t="str">
        <x:v>Zoo, aquarium, and gardens sit beside White River State Park.</x:v>
      </x:c>
      <x:c r="H90" s="16" t="str">
        <x:v>Zoo/Aquarium</x:v>
      </x:c>
      <x:c r="I90" s="16" t="str">
        <x:v>https://www.google.com/search?q=Indianapolis%20Zoo%20Indianapolis%20Indiana%20official%20website</x:v>
      </x:c>
      <x:c r="J90" s="16" t="str">
        <x:v>https://www.google.com/search?q=site%3Avisitindiana.com%20Indianapolis%20Zoo</x:v>
      </x:c>
      <x:c r="K90" s="16" t="str">
        <x:v>https://www.google.com/search?q=Indianapolis%20Zoo%20Indianapolis%20Indiana%20visitor%20information</x:v>
      </x:c>
      <x:c r="L90" s="16" t="str">
        <x:v>https://www.google.com/search?q=Indianapolis%20Zoo%20Indianapolis%20Indiana%20photos</x:v>
      </x:c>
      <x:c r="M90" s="16" t="str">
        <x:v>https://www.google.com/search?q=Indianapolis%20Zoo%20Indianapolis%20Indiana%20wikipedia%20OR%20wikivoyage</x:v>
      </x:c>
      <x:c r="N90" s="16" t="str">
        <x:v>https://www.google.com/maps/search/?api=1&amp;query=Indianapolis%20Zoo%2C%20Indianapolis%2C%20Indiana</x:v>
      </x:c>
      <x:c r="O90" s="17" t="b">
        <x:v>1</x:v>
      </x:c>
      <x:c r="P90" s="16" t="b">
        <x:f>IFERROR(VLOOKUP(A90,States!$A$2:$B$18,2,FALSE),FALSE)</x:f>
        <x:v>1</x:v>
      </x:c>
      <x:c r="Q90" s="16" t="b">
        <x:f>AND(OR(O90=TRUE,O90="TRUE"),OR(P90=TRUE,P90="TRUE"))</x:f>
        <x:v>1</x:v>
      </x:c>
    </x:row>
    <x:row r="91">
      <x:c r="A91" s="16" t="str">
        <x:v>Indiana</x:v>
      </x:c>
      <x:c r="B91" s="16" t="str">
        <x:v>Indianapolis</x:v>
      </x:c>
      <x:c r="C91" s="16" t="n">
        <x:v>-86.169</x:v>
      </x:c>
      <x:c r="D91" s="16" t="n">
        <x:v>39.769</x:v>
      </x:c>
      <x:c r="E91" s="16" t="str">
        <x:v>Eiteljorg Museum</x:v>
      </x:c>
      <x:c r="F91" s="16" t="str">
        <x:v>Art lovers, history travelers</x:v>
      </x:c>
      <x:c r="G91" s="16" t="str">
        <x:v>Western and Native American art collections add a distinctive cultural stop.</x:v>
      </x:c>
      <x:c r="H91" s="16" t="str">
        <x:v>Museum</x:v>
      </x:c>
      <x:c r="I91" s="16" t="str">
        <x:v>https://www.google.com/search?q=Eiteljorg%20Museum%20Indianapolis%20Indiana%20official%20website</x:v>
      </x:c>
      <x:c r="J91" s="16" t="str">
        <x:v>https://www.google.com/search?q=site%3Avisitindiana.com%20Eiteljorg%20Museum</x:v>
      </x:c>
      <x:c r="K91" s="16" t="str">
        <x:v>https://www.google.com/search?q=Eiteljorg%20Museum%20Indianapolis%20Indiana%20visitor%20information</x:v>
      </x:c>
      <x:c r="L91" s="16" t="str">
        <x:v>https://www.google.com/search?q=Eiteljorg%20Museum%20Indianapolis%20Indiana%20photos</x:v>
      </x:c>
      <x:c r="M91" s="16" t="str">
        <x:v>https://www.google.com/search?q=Eiteljorg%20Museum%20Indianapolis%20Indiana%20wikipedia%20OR%20wikivoyage</x:v>
      </x:c>
      <x:c r="N91" s="16" t="str">
        <x:v>https://www.google.com/maps/search/?api=1&amp;query=Eiteljorg%20Museum%2C%20Indianapolis%2C%20Indiana</x:v>
      </x:c>
      <x:c r="O91" s="17" t="b">
        <x:v>1</x:v>
      </x:c>
      <x:c r="P91" s="16" t="b">
        <x:f>IFERROR(VLOOKUP(A91,States!$A$2:$B$18,2,FALSE),FALSE)</x:f>
        <x:v>1</x:v>
      </x:c>
      <x:c r="Q91" s="16" t="b">
        <x:f>AND(OR(O91=TRUE,O91="TRUE"),OR(P91=TRUE,P91="TRUE"))</x:f>
        <x:v>1</x:v>
      </x:c>
    </x:row>
    <x:row r="92">
      <x:c r="A92" s="16" t="str">
        <x:v>Indiana</x:v>
      </x:c>
      <x:c r="B92" s="16" t="str">
        <x:v>Indianapolis</x:v>
      </x:c>
      <x:c r="C92" s="16" t="n">
        <x:v>-86.185</x:v>
      </x:c>
      <x:c r="D92" s="16" t="n">
        <x:v>39.825</x:v>
      </x:c>
      <x:c r="E92" s="16" t="str">
        <x:v>Newfields</x:v>
      </x:c>
      <x:c r="F92" s="16" t="str">
        <x:v>Art lovers, garden lovers</x:v>
      </x:c>
      <x:c r="G92" s="16" t="str">
        <x:v>Art galleries, gardens, and seasonal installations make one flexible visit.</x:v>
      </x:c>
      <x:c r="H92" s="16" t="str">
        <x:v>Museum</x:v>
      </x:c>
      <x:c r="I92" s="16" t="str">
        <x:v>https://www.google.com/search?q=Newfields%20Indianapolis%20Indiana%20official%20website</x:v>
      </x:c>
      <x:c r="J92" s="16" t="str">
        <x:v>https://www.google.com/search?q=site%3Avisitindiana.com%20Newfields</x:v>
      </x:c>
      <x:c r="K92" s="16" t="str">
        <x:v>https://www.google.com/search?q=Newfields%20Indianapolis%20Indiana%20visitor%20information</x:v>
      </x:c>
      <x:c r="L92" s="16" t="str">
        <x:v>https://www.google.com/search?q=Newfields%20Indianapolis%20Indiana%20photos</x:v>
      </x:c>
      <x:c r="M92" s="16" t="str">
        <x:v>https://www.google.com/search?q=Newfields%20Indianapolis%20Indiana%20wikipedia%20OR%20wikivoyage</x:v>
      </x:c>
      <x:c r="N92" s="16" t="str">
        <x:v>https://www.google.com/maps/search/?api=1&amp;query=Newfields%2C%20Indianapolis%2C%20Indiana</x:v>
      </x:c>
      <x:c r="O92" s="17" t="b">
        <x:v>1</x:v>
      </x:c>
      <x:c r="P92" s="16" t="b">
        <x:f>IFERROR(VLOOKUP(A92,States!$A$2:$B$18,2,FALSE),FALSE)</x:f>
        <x:v>1</x:v>
      </x:c>
      <x:c r="Q92" s="16" t="b">
        <x:f>AND(OR(O92=TRUE,O92="TRUE"),OR(P92=TRUE,P92="TRUE"))</x:f>
        <x:v>1</x:v>
      </x:c>
    </x:row>
    <x:row r="93">
      <x:c r="A93" s="16" t="str">
        <x:v>Indiana</x:v>
      </x:c>
      <x:c r="B93" s="16" t="str">
        <x:v>Madison</x:v>
      </x:c>
      <x:c r="C93" s="16" t="n">
        <x:v>-85.421</x:v>
      </x:c>
      <x:c r="D93" s="16" t="n">
        <x:v>38.761</x:v>
      </x:c>
      <x:c r="E93" s="16" t="str">
        <x:v>Clifty Falls State Park</x:v>
      </x:c>
      <x:c r="F93" s="16" t="str">
        <x:v>Hikers, waterfall fans</x:v>
      </x:c>
      <x:c r="G93" s="16" t="str">
        <x:v>Canyon trails and seasonal waterfalls sit near historic Madison.</x:v>
      </x:c>
      <x:c r="H93" s="16" t="str">
        <x:v>Nature</x:v>
      </x:c>
      <x:c r="I93" s="16" t="str">
        <x:v>https://www.google.com/search?q=Clifty%20Falls%20State%20Park%20Madison%20Indiana%20official%20website</x:v>
      </x:c>
      <x:c r="J93" s="16" t="str">
        <x:v>https://www.google.com/search?q=site%3Avisitindiana.com%20Clifty%20Falls%20State%20Park</x:v>
      </x:c>
      <x:c r="K93" s="16" t="str">
        <x:v>https://www.google.com/search?q=Clifty%20Falls%20State%20Park%20Madison%20Indiana%20visitor%20information</x:v>
      </x:c>
      <x:c r="L93" s="16" t="str">
        <x:v>https://www.google.com/search?q=Clifty%20Falls%20State%20Park%20Madison%20Indiana%20photos</x:v>
      </x:c>
      <x:c r="M93" s="16" t="str">
        <x:v>https://www.google.com/search?q=Clifty%20Falls%20State%20Park%20Madison%20Indiana%20wikipedia%20OR%20wikivoyage</x:v>
      </x:c>
      <x:c r="N93" s="16" t="str">
        <x:v>https://www.google.com/maps/search/?api=1&amp;query=Clifty%20Falls%20State%20Park%2C%20Madison%2C%20Indiana</x:v>
      </x:c>
      <x:c r="O93" s="17" t="b">
        <x:v>1</x:v>
      </x:c>
      <x:c r="P93" s="16" t="b">
        <x:f>IFERROR(VLOOKUP(A93,States!$A$2:$B$18,2,FALSE),FALSE)</x:f>
        <x:v>1</x:v>
      </x:c>
      <x:c r="Q93" s="16" t="b">
        <x:f>AND(OR(O93=TRUE,O93="TRUE"),OR(P93=TRUE,P93="TRUE"))</x:f>
        <x:v>1</x:v>
      </x:c>
    </x:row>
    <x:row r="94">
      <x:c r="A94" s="16" t="str">
        <x:v>Indiana</x:v>
      </x:c>
      <x:c r="B94" s="16" t="str">
        <x:v>Marengo</x:v>
      </x:c>
      <x:c r="C94" s="16" t="n">
        <x:v>-86.343</x:v>
      </x:c>
      <x:c r="D94" s="16" t="n">
        <x:v>38.375</x:v>
      </x:c>
      <x:c r="E94" s="16" t="str">
        <x:v>Marengo Cave</x:v>
      </x:c>
      <x:c r="F94" s="16" t="str">
        <x:v>Families, geology fans</x:v>
      </x:c>
      <x:c r="G94" s="16" t="str">
        <x:v>Guided cave tours reveal accessible underground formations.</x:v>
      </x:c>
      <x:c r="H94" s="16" t="str">
        <x:v>Cave</x:v>
      </x:c>
      <x:c r="I94" s="16" t="str">
        <x:v>https://www.google.com/search?q=Marengo%20Cave%20Marengo%20Indiana%20official%20website</x:v>
      </x:c>
      <x:c r="J94" s="16" t="str">
        <x:v>https://www.google.com/search?q=site%3Avisitindiana.com%20Marengo%20Cave</x:v>
      </x:c>
      <x:c r="K94" s="16" t="str">
        <x:v>https://www.google.com/search?q=Marengo%20Cave%20Marengo%20Indiana%20visitor%20information</x:v>
      </x:c>
      <x:c r="L94" s="16" t="str">
        <x:v>https://www.google.com/search?q=Marengo%20Cave%20Marengo%20Indiana%20photos</x:v>
      </x:c>
      <x:c r="M94" s="16" t="str">
        <x:v>https://www.google.com/search?q=Marengo%20Cave%20Marengo%20Indiana%20wikipedia%20OR%20wikivoyage</x:v>
      </x:c>
      <x:c r="N94" s="16" t="str">
        <x:v>https://www.google.com/maps/search/?api=1&amp;query=Marengo%20Cave%2C%20Marengo%2C%20Indiana</x:v>
      </x:c>
      <x:c r="O94" s="17" t="b">
        <x:v>1</x:v>
      </x:c>
      <x:c r="P94" s="16" t="b">
        <x:f>IFERROR(VLOOKUP(A94,States!$A$2:$B$18,2,FALSE),FALSE)</x:f>
        <x:v>1</x:v>
      </x:c>
      <x:c r="Q94" s="16" t="b">
        <x:f>AND(OR(O94=TRUE,O94="TRUE"),OR(P94=TRUE,P94="TRUE"))</x:f>
        <x:v>1</x:v>
      </x:c>
    </x:row>
    <x:row r="95">
      <x:c r="A95" s="16" t="str">
        <x:v>Indiana</x:v>
      </x:c>
      <x:c r="B95" s="16" t="str">
        <x:v>French Lick</x:v>
      </x:c>
      <x:c r="C95" s="16" t="n">
        <x:v>-86.618</x:v>
      </x:c>
      <x:c r="D95" s="16" t="n">
        <x:v>38.548</x:v>
      </x:c>
      <x:c r="E95" s="16" t="str">
        <x:v>French Lick Resort</x:v>
      </x:c>
      <x:c r="F95" s="16" t="str">
        <x:v>Couples, spa travelers, golfers</x:v>
      </x:c>
      <x:c r="G95" s="16" t="str">
        <x:v>Historic resort hotels pair architecture, mineral-spring history, and golf.</x:v>
      </x:c>
      <x:c r="H95" s="16" t="str">
        <x:v>Resort</x:v>
      </x:c>
      <x:c r="I95" s="16" t="str">
        <x:v>https://www.google.com/search?q=French%20Lick%20Resort%20French%20Lick%20Indiana%20official%20website</x:v>
      </x:c>
      <x:c r="J95" s="16" t="str">
        <x:v>https://www.google.com/search?q=site%3Avisitindiana.com%20French%20Lick%20Resort</x:v>
      </x:c>
      <x:c r="K95" s="16" t="str">
        <x:v>https://www.google.com/search?q=French%20Lick%20Resort%20French%20Lick%20Indiana%20visitor%20information</x:v>
      </x:c>
      <x:c r="L95" s="16" t="str">
        <x:v>https://www.google.com/search?q=French%20Lick%20Resort%20French%20Lick%20Indiana%20photos</x:v>
      </x:c>
      <x:c r="M95" s="16" t="str">
        <x:v>https://www.google.com/search?q=French%20Lick%20Resort%20French%20Lick%20Indiana%20wikipedia%20OR%20wikivoyage</x:v>
      </x:c>
      <x:c r="N95" s="16" t="str">
        <x:v>https://www.google.com/maps/search/?api=1&amp;query=French%20Lick%20Resort%2C%20French%20Lick%2C%20Indiana</x:v>
      </x:c>
      <x:c r="O95" s="17" t="b">
        <x:v>1</x:v>
      </x:c>
      <x:c r="P95" s="16" t="b">
        <x:f>IFERROR(VLOOKUP(A95,States!$A$2:$B$18,2,FALSE),FALSE)</x:f>
        <x:v>1</x:v>
      </x:c>
      <x:c r="Q95" s="16" t="b">
        <x:f>AND(OR(O95=TRUE,O95="TRUE"),OR(P95=TRUE,P95="TRUE"))</x:f>
        <x:v>1</x:v>
      </x:c>
    </x:row>
    <x:row r="96">
      <x:c r="A96" s="16" t="str">
        <x:v>Indiana</x:v>
      </x:c>
      <x:c r="B96" s="16" t="str">
        <x:v>Clarksville</x:v>
      </x:c>
      <x:c r="C96" s="16" t="n">
        <x:v>-85.764</x:v>
      </x:c>
      <x:c r="D96" s="16" t="n">
        <x:v>38.276</x:v>
      </x:c>
      <x:c r="E96" s="16" t="str">
        <x:v>Falls of the Ohio State Park</x:v>
      </x:c>
      <x:c r="F96" s="16" t="str">
        <x:v>Families, fossil fans</x:v>
      </x:c>
      <x:c r="G96" s="16" t="str">
        <x:v>Exposed fossil beds along the Ohio River are easy to explore.</x:v>
      </x:c>
      <x:c r="H96" s="16" t="str">
        <x:v>Science</x:v>
      </x:c>
      <x:c r="I96" s="16" t="str">
        <x:v>https://www.google.com/search?q=Falls%20of%20the%20Ohio%20State%20Park%20Clarksville%20Indiana%20official%20website</x:v>
      </x:c>
      <x:c r="J96" s="16" t="str">
        <x:v>https://www.google.com/search?q=site%3Avisitindiana.com%20Falls%20of%20the%20Ohio%20State%20Park</x:v>
      </x:c>
      <x:c r="K96" s="16" t="str">
        <x:v>https://www.google.com/search?q=Falls%20of%20the%20Ohio%20State%20Park%20Clarksville%20Indiana%20visitor%20information</x:v>
      </x:c>
      <x:c r="L96" s="16" t="str">
        <x:v>https://www.google.com/search?q=Falls%20of%20the%20Ohio%20State%20Park%20Clarksville%20Indiana%20photos</x:v>
      </x:c>
      <x:c r="M96" s="16" t="str">
        <x:v>https://www.google.com/search?q=Falls%20of%20the%20Ohio%20State%20Park%20Clarksville%20Indiana%20wikipedia%20OR%20wikivoyage</x:v>
      </x:c>
      <x:c r="N96" s="16" t="str">
        <x:v>https://www.google.com/maps/search/?api=1&amp;query=Falls%20of%20the%20Ohio%20State%20Park%2C%20Clarksville%2C%20Indiana</x:v>
      </x:c>
      <x:c r="O96" s="17" t="b">
        <x:v>1</x:v>
      </x:c>
      <x:c r="P96" s="16" t="b">
        <x:f>IFERROR(VLOOKUP(A96,States!$A$2:$B$18,2,FALSE),FALSE)</x:f>
        <x:v>1</x:v>
      </x:c>
      <x:c r="Q96" s="16" t="b">
        <x:f>AND(OR(O96=TRUE,O96="TRUE"),OR(P96=TRUE,P96="TRUE"))</x:f>
        <x:v>1</x:v>
      </x:c>
    </x:row>
    <x:row r="97">
      <x:c r="A97" s="16" t="str">
        <x:v>Indiana</x:v>
      </x:c>
      <x:c r="B97" s="16" t="str">
        <x:v>Battle Ground</x:v>
      </x:c>
      <x:c r="C97" s="16" t="n">
        <x:v>-86.841</x:v>
      </x:c>
      <x:c r="D97" s="16" t="n">
        <x:v>40.506</x:v>
      </x:c>
      <x:c r="E97" s="16" t="str">
        <x:v>Prophetstown State Park</x:v>
      </x:c>
      <x:c r="F97" s="16" t="str">
        <x:v>Families, cyclists, history travelers</x:v>
      </x:c>
      <x:c r="G97" s="16" t="str">
        <x:v>Prairie restoration, trails, and farm exhibits tell layered land stories.</x:v>
      </x:c>
      <x:c r="H97" s="16" t="str">
        <x:v>Nature</x:v>
      </x:c>
      <x:c r="I97" s="16" t="str">
        <x:v>https://www.google.com/search?q=Prophetstown%20State%20Park%20Battle%20Ground%20Indiana%20official%20website</x:v>
      </x:c>
      <x:c r="J97" s="16" t="str">
        <x:v>https://www.google.com/search?q=site%3Avisitindiana.com%20Prophetstown%20State%20Park</x:v>
      </x:c>
      <x:c r="K97" s="16" t="str">
        <x:v>https://www.google.com/search?q=Prophetstown%20State%20Park%20Battle%20Ground%20Indiana%20visitor%20information</x:v>
      </x:c>
      <x:c r="L97" s="16" t="str">
        <x:v>https://www.google.com/search?q=Prophetstown%20State%20Park%20Battle%20Ground%20Indiana%20photos</x:v>
      </x:c>
      <x:c r="M97" s="16" t="str">
        <x:v>https://www.google.com/search?q=Prophetstown%20State%20Park%20Battle%20Ground%20Indiana%20wikipedia%20OR%20wikivoyage</x:v>
      </x:c>
      <x:c r="N97" s="16" t="str">
        <x:v>https://www.google.com/maps/search/?api=1&amp;query=Prophetstown%20State%20Park%2C%20Battle%20Ground%2C%20Indiana</x:v>
      </x:c>
      <x:c r="O97" s="17" t="b">
        <x:v>1</x:v>
      </x:c>
      <x:c r="P97" s="16" t="b">
        <x:f>IFERROR(VLOOKUP(A97,States!$A$2:$B$18,2,FALSE),FALSE)</x:f>
        <x:v>1</x:v>
      </x:c>
      <x:c r="Q97" s="16" t="b">
        <x:f>AND(OR(O97=TRUE,O97="TRUE"),OR(P97=TRUE,P97="TRUE"))</x:f>
        <x:v>1</x:v>
      </x:c>
    </x:row>
    <x:row r="98">
      <x:c r="A98" s="16" t="str">
        <x:v>Indiana</x:v>
      </x:c>
      <x:c r="B98" s="16" t="str">
        <x:v>Indianapolis</x:v>
      </x:c>
      <x:c r="C98" s="16" t="n">
        <x:v>-86.169</x:v>
      </x:c>
      <x:c r="D98" s="16" t="n">
        <x:v>39.769</x:v>
      </x:c>
      <x:c r="E98" s="16" t="str">
        <x:v>Indiana State Museum</x:v>
      </x:c>
      <x:c r="F98" s="16" t="str">
        <x:v>Families, students, history fans</x:v>
      </x:c>
      <x:c r="G98" s="16" t="str">
        <x:v>State history, science, and culture are presented beside the canal.</x:v>
      </x:c>
      <x:c r="H98" s="16" t="str">
        <x:v>Museum</x:v>
      </x:c>
      <x:c r="I98" s="16" t="str">
        <x:v>https://www.google.com/search?q=Indiana%20State%20Museum%20Indianapolis%20Indiana%20official%20website</x:v>
      </x:c>
      <x:c r="J98" s="16" t="str">
        <x:v>https://www.google.com/search?q=site%3Avisitindiana.com%20Indiana%20State%20Museum</x:v>
      </x:c>
      <x:c r="K98" s="16" t="str">
        <x:v>https://www.google.com/search?q=Indiana%20State%20Museum%20Indianapolis%20Indiana%20visitor%20information</x:v>
      </x:c>
      <x:c r="L98" s="16" t="str">
        <x:v>https://www.google.com/search?q=Indiana%20State%20Museum%20Indianapolis%20Indiana%20photos</x:v>
      </x:c>
      <x:c r="M98" s="16" t="str">
        <x:v>https://www.google.com/search?q=Indiana%20State%20Museum%20Indianapolis%20Indiana%20wikipedia%20OR%20wikivoyage</x:v>
      </x:c>
      <x:c r="N98" s="16" t="str">
        <x:v>https://www.google.com/maps/search/?api=1&amp;query=Indiana%20State%20Museum%2C%20Indianapolis%2C%20Indiana</x:v>
      </x:c>
      <x:c r="O98" s="17" t="b">
        <x:v>1</x:v>
      </x:c>
      <x:c r="P98" s="16" t="b">
        <x:f>IFERROR(VLOOKUP(A98,States!$A$2:$B$18,2,FALSE),FALSE)</x:f>
        <x:v>1</x:v>
      </x:c>
      <x:c r="Q98" s="16" t="b">
        <x:f>AND(OR(O98=TRUE,O98="TRUE"),OR(P98=TRUE,P98="TRUE"))</x:f>
        <x:v>1</x:v>
      </x:c>
    </x:row>
    <x:row r="99">
      <x:c r="A99" s="16" t="str">
        <x:v>Indiana</x:v>
      </x:c>
      <x:c r="B99" s="16" t="str">
        <x:v>Notre Dame</x:v>
      </x:c>
      <x:c r="C99" s="16" t="n">
        <x:v>-86.238</x:v>
      </x:c>
      <x:c r="D99" s="16" t="n">
        <x:v>41.702</x:v>
      </x:c>
      <x:c r="E99" s="16" t="str">
        <x:v>Basilica and University of Notre Dame</x:v>
      </x:c>
      <x:c r="F99" s="16" t="str">
        <x:v>Architecture fans, alumni, families</x:v>
      </x:c>
      <x:c r="G99" s="16" t="str">
        <x:v>A famous campus combines architecture, art, and sports tradition.</x:v>
      </x:c>
      <x:c r="H99" s="16" t="str">
        <x:v>Architecture</x:v>
      </x:c>
      <x:c r="I99" s="16" t="str">
        <x:v>https://www.google.com/search?q=Basilica%20and%20University%20of%20Notre%20Dame%20Notre%20Dame%20Indiana%20official%20website</x:v>
      </x:c>
      <x:c r="J99" s="16" t="str">
        <x:v>https://www.google.com/search?q=site%3Avisitindiana.com%20Basilica%20and%20University%20of%20Notre%20Dame</x:v>
      </x:c>
      <x:c r="K99" s="16" t="str">
        <x:v>https://www.google.com/search?q=Basilica%20and%20University%20of%20Notre%20Dame%20Notre%20Dame%20Indiana%20visitor%20information</x:v>
      </x:c>
      <x:c r="L99" s="16" t="str">
        <x:v>https://www.google.com/search?q=Basilica%20and%20University%20of%20Notre%20Dame%20Notre%20Dame%20Indiana%20photos</x:v>
      </x:c>
      <x:c r="M99" s="16" t="str">
        <x:v>https://www.google.com/search?q=Basilica%20and%20University%20of%20Notre%20Dame%20Notre%20Dame%20Indiana%20wikipedia%20OR%20wikivoyage</x:v>
      </x:c>
      <x:c r="N99" s="16" t="str">
        <x:v>https://www.google.com/maps/search/?api=1&amp;query=Basilica%20and%20University%20of%20Notre%20Dame%2C%20Notre%20Dame%2C%20Indiana</x:v>
      </x:c>
      <x:c r="O99" s="17" t="b">
        <x:v>1</x:v>
      </x:c>
      <x:c r="P99" s="16" t="b">
        <x:f>IFERROR(VLOOKUP(A99,States!$A$2:$B$18,2,FALSE),FALSE)</x:f>
        <x:v>1</x:v>
      </x:c>
      <x:c r="Q99" s="16" t="b">
        <x:f>AND(OR(O99=TRUE,O99="TRUE"),OR(P99=TRUE,P99="TRUE"))</x:f>
        <x:v>1</x:v>
      </x:c>
    </x:row>
    <x:row r="100">
      <x:c r="A100" s="16" t="str">
        <x:v>Indiana</x:v>
      </x:c>
      <x:c r="B100" s="16" t="str">
        <x:v>Rockville</x:v>
      </x:c>
      <x:c r="C100" s="16" t="n">
        <x:v>-87.23</x:v>
      </x:c>
      <x:c r="D100" s="16" t="n">
        <x:v>39.762</x:v>
      </x:c>
      <x:c r="E100" s="16" t="str">
        <x:v>Parke County Covered Bridges</x:v>
      </x:c>
      <x:c r="F100" s="16" t="str">
        <x:v>Scenic drivers, photographers</x:v>
      </x:c>
      <x:c r="G100" s="16" t="str">
        <x:v>Historic covered bridges create a relaxed rural driving loop.</x:v>
      </x:c>
      <x:c r="H100" s="16" t="str">
        <x:v>Scenic Drive</x:v>
      </x:c>
      <x:c r="I100" s="16" t="str">
        <x:v>https://www.google.com/search?q=Parke%20County%20Covered%20Bridges%20Rockville%20Indiana%20official%20website</x:v>
      </x:c>
      <x:c r="J100" s="16" t="str">
        <x:v>https://www.google.com/search?q=site%3Avisitindiana.com%20Parke%20County%20Covered%20Bridges</x:v>
      </x:c>
      <x:c r="K100" s="16" t="str">
        <x:v>https://www.google.com/search?q=Parke%20County%20Covered%20Bridges%20Rockville%20Indiana%20visitor%20information</x:v>
      </x:c>
      <x:c r="L100" s="16" t="str">
        <x:v>https://www.google.com/search?q=Parke%20County%20Covered%20Bridges%20Rockville%20Indiana%20photos</x:v>
      </x:c>
      <x:c r="M100" s="16" t="str">
        <x:v>https://www.google.com/search?q=Parke%20County%20Covered%20Bridges%20Rockville%20Indiana%20wikipedia%20OR%20wikivoyage</x:v>
      </x:c>
      <x:c r="N100" s="16" t="str">
        <x:v>https://www.google.com/maps/search/?api=1&amp;query=Parke%20County%20Covered%20Bridges%2C%20Rockville%2C%20Indiana</x:v>
      </x:c>
      <x:c r="O100" s="17" t="b">
        <x:v>1</x:v>
      </x:c>
      <x:c r="P100" s="16" t="b">
        <x:f>IFERROR(VLOOKUP(A100,States!$A$2:$B$18,2,FALSE),FALSE)</x:f>
        <x:v>1</x:v>
      </x:c>
      <x:c r="Q100" s="16" t="b">
        <x:f>AND(OR(O100=TRUE,O100="TRUE"),OR(P100=TRUE,P100="TRUE"))</x:f>
        <x:v>1</x:v>
      </x:c>
    </x:row>
    <x:row r="101">
      <x:c r="A101" s="16" t="str">
        <x:v>Indiana</x:v>
      </x:c>
      <x:c r="B101" s="16" t="str">
        <x:v>Bloomington</x:v>
      </x:c>
      <x:c r="C101" s="16" t="n">
        <x:v>-86.535</x:v>
      </x:c>
      <x:c r="D101" s="16" t="n">
        <x:v>39.166</x:v>
      </x:c>
      <x:c r="E101" s="16" t="str">
        <x:v>WonderLab Museum</x:v>
      </x:c>
      <x:c r="F101" s="16" t="str">
        <x:v>Families, kids, science fans</x:v>
      </x:c>
      <x:c r="G101" s="16" t="str">
        <x:v>Hands-on science exhibits make a lively stop near Indiana University.</x:v>
      </x:c>
      <x:c r="H101" s="16" t="str">
        <x:v>Science</x:v>
      </x:c>
      <x:c r="I101" s="16" t="str">
        <x:v>https://www.google.com/search?q=WonderLab%20Museum%20Bloomington%20Indiana%20official%20website</x:v>
      </x:c>
      <x:c r="J101" s="16" t="str">
        <x:v>https://www.google.com/search?q=site%3Avisitindiana.com%20WonderLab%20Museum</x:v>
      </x:c>
      <x:c r="K101" s="16" t="str">
        <x:v>https://www.google.com/search?q=WonderLab%20Museum%20Bloomington%20Indiana%20visitor%20information</x:v>
      </x:c>
      <x:c r="L101" s="16" t="str">
        <x:v>https://www.google.com/search?q=WonderLab%20Museum%20Bloomington%20Indiana%20photos</x:v>
      </x:c>
      <x:c r="M101" s="16" t="str">
        <x:v>https://www.google.com/search?q=WonderLab%20Museum%20Bloomington%20Indiana%20wikipedia%20OR%20wikivoyage</x:v>
      </x:c>
      <x:c r="N101" s="16" t="str">
        <x:v>https://www.google.com/maps/search/?api=1&amp;query=WonderLab%20Museum%2C%20Bloomington%2C%20Indiana</x:v>
      </x:c>
      <x:c r="O101" s="17" t="b">
        <x:v>1</x:v>
      </x:c>
      <x:c r="P101" s="16" t="b">
        <x:f>IFERROR(VLOOKUP(A101,States!$A$2:$B$18,2,FALSE),FALSE)</x:f>
        <x:v>1</x:v>
      </x:c>
      <x:c r="Q101" s="16" t="b">
        <x:f>AND(OR(O101=TRUE,O101="TRUE"),OR(P101=TRUE,P101="TRUE"))</x:f>
        <x:v>1</x:v>
      </x:c>
    </x:row>
    <x:row r="102">
      <x:c r="A102" s="16" t="str">
        <x:v>Illinois</x:v>
      </x:c>
      <x:c r="B102" s="16" t="str">
        <x:v>Chicago</x:v>
      </x:c>
      <x:c r="C102" s="16" t="n">
        <x:v>-87.623</x:v>
      </x:c>
      <x:c r="D102" s="16" t="n">
        <x:v>41.883</x:v>
      </x:c>
      <x:c r="E102" s="16" t="str">
        <x:v>Millennium Park</x:v>
      </x:c>
      <x:c r="F102" s="16" t="str">
        <x:v>First-time visitors, families, photographers</x:v>
      </x:c>
      <x:c r="G102" s="16" t="str">
        <x:v>Public art, gardens, and skyline views anchor downtown Chicago.</x:v>
      </x:c>
      <x:c r="H102" s="16" t="str">
        <x:v>Urban Park</x:v>
      </x:c>
      <x:c r="I102" s="16" t="str">
        <x:v>https://www.google.com/search?q=Millennium%20Park%20Chicago%20Illinois%20official%20website</x:v>
      </x:c>
      <x:c r="J102" s="16" t="str">
        <x:v>https://www.google.com/search?q=site%3Aenjoyillinois.com%20Millennium%20Park</x:v>
      </x:c>
      <x:c r="K102" s="16" t="str">
        <x:v>https://www.google.com/search?q=Millennium%20Park%20Chicago%20Illinois%20visitor%20information</x:v>
      </x:c>
      <x:c r="L102" s="16" t="str">
        <x:v>https://www.google.com/search?q=Millennium%20Park%20Chicago%20Illinois%20photos</x:v>
      </x:c>
      <x:c r="M102" s="16" t="str">
        <x:v>https://www.google.com/search?q=Millennium%20Park%20Chicago%20Illinois%20wikipedia%20OR%20wikivoyage</x:v>
      </x:c>
      <x:c r="N102" s="16" t="str">
        <x:v>https://www.google.com/maps/search/?api=1&amp;query=Millennium%20Park%2C%20Chicago%2C%20Illinois</x:v>
      </x:c>
      <x:c r="O102" s="17" t="b">
        <x:v>1</x:v>
      </x:c>
      <x:c r="P102" s="16" t="b">
        <x:f>IFERROR(VLOOKUP(A102,States!$A$2:$B$18,2,FALSE),FALSE)</x:f>
        <x:v>1</x:v>
      </x:c>
      <x:c r="Q102" s="16" t="b">
        <x:f>AND(OR(O102=TRUE,O102="TRUE"),OR(P102=TRUE,P102="TRUE"))</x:f>
        <x:v>1</x:v>
      </x:c>
    </x:row>
    <x:row r="103">
      <x:c r="A103" s="16" t="str">
        <x:v>Illinois</x:v>
      </x:c>
      <x:c r="B103" s="16" t="str">
        <x:v>Chicago</x:v>
      </x:c>
      <x:c r="C103" s="16" t="n">
        <x:v>-87.624</x:v>
      </x:c>
      <x:c r="D103" s="16" t="n">
        <x:v>41.879</x:v>
      </x:c>
      <x:c r="E103" s="16" t="str">
        <x:v>Art Institute of Chicago</x:v>
      </x:c>
      <x:c r="F103" s="16" t="str">
        <x:v>Art lovers, families</x:v>
      </x:c>
      <x:c r="G103" s="16" t="str">
        <x:v>World-class collections make it one of America's essential art museums.</x:v>
      </x:c>
      <x:c r="H103" s="16" t="str">
        <x:v>Museum</x:v>
      </x:c>
      <x:c r="I103" s="16" t="str">
        <x:v>https://www.google.com/search?q=Art%20Institute%20of%20Chicago%20Chicago%20Illinois%20official%20website</x:v>
      </x:c>
      <x:c r="J103" s="16" t="str">
        <x:v>https://www.google.com/search?q=site%3Aenjoyillinois.com%20Art%20Institute%20of%20Chicago</x:v>
      </x:c>
      <x:c r="K103" s="16" t="str">
        <x:v>https://www.google.com/search?q=Art%20Institute%20of%20Chicago%20Chicago%20Illinois%20visitor%20information</x:v>
      </x:c>
      <x:c r="L103" s="16" t="str">
        <x:v>https://www.google.com/search?q=Art%20Institute%20of%20Chicago%20Chicago%20Illinois%20photos</x:v>
      </x:c>
      <x:c r="M103" s="16" t="str">
        <x:v>https://www.google.com/search?q=Art%20Institute%20of%20Chicago%20Chicago%20Illinois%20wikipedia%20OR%20wikivoyage</x:v>
      </x:c>
      <x:c r="N103" s="16" t="str">
        <x:v>https://www.google.com/maps/search/?api=1&amp;query=Art%20Institute%20of%20Chicago%2C%20Chicago%2C%20Illinois</x:v>
      </x:c>
      <x:c r="O103" s="17" t="b">
        <x:v>1</x:v>
      </x:c>
      <x:c r="P103" s="16" t="b">
        <x:f>IFERROR(VLOOKUP(A103,States!$A$2:$B$18,2,FALSE),FALSE)</x:f>
        <x:v>1</x:v>
      </x:c>
      <x:c r="Q103" s="16" t="b">
        <x:f>AND(OR(O103=TRUE,O103="TRUE"),OR(P103=TRUE,P103="TRUE"))</x:f>
        <x:v>1</x:v>
      </x:c>
    </x:row>
    <x:row r="104">
      <x:c r="A104" s="16" t="str">
        <x:v>Illinois</x:v>
      </x:c>
      <x:c r="B104" s="16" t="str">
        <x:v>Chicago</x:v>
      </x:c>
      <x:c r="C104" s="16" t="n">
        <x:v>-87.617</x:v>
      </x:c>
      <x:c r="D104" s="16" t="n">
        <x:v>41.866</x:v>
      </x:c>
      <x:c r="E104" s="16" t="str">
        <x:v>Field Museum</x:v>
      </x:c>
      <x:c r="F104" s="16" t="str">
        <x:v>Families, science fans</x:v>
      </x:c>
      <x:c r="G104" s="16" t="str">
        <x:v>Dinosaurs, anthropology, and natural history fill a major museum campus.</x:v>
      </x:c>
      <x:c r="H104" s="16" t="str">
        <x:v>Museum</x:v>
      </x:c>
      <x:c r="I104" s="16" t="str">
        <x:v>https://www.google.com/search?q=Field%20Museum%20Chicago%20Illinois%20official%20website</x:v>
      </x:c>
      <x:c r="J104" s="16" t="str">
        <x:v>https://www.google.com/search?q=site%3Aenjoyillinois.com%20Field%20Museum</x:v>
      </x:c>
      <x:c r="K104" s="16" t="str">
        <x:v>https://www.google.com/search?q=Field%20Museum%20Chicago%20Illinois%20visitor%20information</x:v>
      </x:c>
      <x:c r="L104" s="16" t="str">
        <x:v>https://www.google.com/search?q=Field%20Museum%20Chicago%20Illinois%20photos</x:v>
      </x:c>
      <x:c r="M104" s="16" t="str">
        <x:v>https://www.google.com/search?q=Field%20Museum%20Chicago%20Illinois%20wikipedia%20OR%20wikivoyage</x:v>
      </x:c>
      <x:c r="N104" s="16" t="str">
        <x:v>https://www.google.com/maps/search/?api=1&amp;query=Field%20Museum%2C%20Chicago%2C%20Illinois</x:v>
      </x:c>
      <x:c r="O104" s="17" t="b">
        <x:v>1</x:v>
      </x:c>
      <x:c r="P104" s="16" t="b">
        <x:f>IFERROR(VLOOKUP(A104,States!$A$2:$B$18,2,FALSE),FALSE)</x:f>
        <x:v>1</x:v>
      </x:c>
      <x:c r="Q104" s="16" t="b">
        <x:f>AND(OR(O104=TRUE,O104="TRUE"),OR(P104=TRUE,P104="TRUE"))</x:f>
        <x:v>1</x:v>
      </x:c>
    </x:row>
    <x:row r="105">
      <x:c r="A105" s="16" t="str">
        <x:v>Illinois</x:v>
      </x:c>
      <x:c r="B105" s="16" t="str">
        <x:v>Chicago</x:v>
      </x:c>
      <x:c r="C105" s="16" t="n">
        <x:v>-87.614</x:v>
      </x:c>
      <x:c r="D105" s="16" t="n">
        <x:v>41.867</x:v>
      </x:c>
      <x:c r="E105" s="16" t="str">
        <x:v>Shedd Aquarium</x:v>
      </x:c>
      <x:c r="F105" s="16" t="str">
        <x:v>Families, animal lovers</x:v>
      </x:c>
      <x:c r="G105" s="16" t="str">
        <x:v>Aquatic habitats and lakefront views make it a classic Chicago stop.</x:v>
      </x:c>
      <x:c r="H105" s="16" t="str">
        <x:v>Zoo/Aquarium</x:v>
      </x:c>
      <x:c r="I105" s="16" t="str">
        <x:v>https://www.google.com/search?q=Shedd%20Aquarium%20Chicago%20Illinois%20official%20website</x:v>
      </x:c>
      <x:c r="J105" s="16" t="str">
        <x:v>https://www.google.com/search?q=site%3Aenjoyillinois.com%20Shedd%20Aquarium</x:v>
      </x:c>
      <x:c r="K105" s="16" t="str">
        <x:v>https://www.google.com/search?q=Shedd%20Aquarium%20Chicago%20Illinois%20visitor%20information</x:v>
      </x:c>
      <x:c r="L105" s="16" t="str">
        <x:v>https://www.google.com/search?q=Shedd%20Aquarium%20Chicago%20Illinois%20photos</x:v>
      </x:c>
      <x:c r="M105" s="16" t="str">
        <x:v>https://www.google.com/search?q=Shedd%20Aquarium%20Chicago%20Illinois%20wikipedia%20OR%20wikivoyage</x:v>
      </x:c>
      <x:c r="N105" s="16" t="str">
        <x:v>https://www.google.com/maps/search/?api=1&amp;query=Shedd%20Aquarium%2C%20Chicago%2C%20Illinois</x:v>
      </x:c>
      <x:c r="O105" s="17" t="b">
        <x:v>1</x:v>
      </x:c>
      <x:c r="P105" s="16" t="b">
        <x:f>IFERROR(VLOOKUP(A105,States!$A$2:$B$18,2,FALSE),FALSE)</x:f>
        <x:v>1</x:v>
      </x:c>
      <x:c r="Q105" s="16" t="b">
        <x:f>AND(OR(O105=TRUE,O105="TRUE"),OR(P105=TRUE,P105="TRUE"))</x:f>
        <x:v>1</x:v>
      </x:c>
    </x:row>
    <x:row r="106">
      <x:c r="A106" s="16" t="str">
        <x:v>Illinois</x:v>
      </x:c>
      <x:c r="B106" s="16" t="str">
        <x:v>Chicago</x:v>
      </x:c>
      <x:c r="C106" s="16" t="n">
        <x:v>-87.635</x:v>
      </x:c>
      <x:c r="D106" s="16" t="n">
        <x:v>41.879</x:v>
      </x:c>
      <x:c r="E106" s="16" t="str">
        <x:v>Willis Tower Skydeck</x:v>
      </x:c>
      <x:c r="F106" s="16" t="str">
        <x:v>First-time visitors, photographers</x:v>
      </x:c>
      <x:c r="G106" s="16" t="str">
        <x:v>High views and glass ledges frame the Chicago skyline.</x:v>
      </x:c>
      <x:c r="H106" s="16" t="str">
        <x:v>Observation</x:v>
      </x:c>
      <x:c r="I106" s="16" t="str">
        <x:v>https://www.google.com/search?q=Willis%20Tower%20Skydeck%20Chicago%20Illinois%20official%20website</x:v>
      </x:c>
      <x:c r="J106" s="16" t="str">
        <x:v>https://www.google.com/search?q=site%3Aenjoyillinois.com%20Willis%20Tower%20Skydeck</x:v>
      </x:c>
      <x:c r="K106" s="16" t="str">
        <x:v>https://www.google.com/search?q=Willis%20Tower%20Skydeck%20Chicago%20Illinois%20visitor%20information</x:v>
      </x:c>
      <x:c r="L106" s="16" t="str">
        <x:v>https://www.google.com/search?q=Willis%20Tower%20Skydeck%20Chicago%20Illinois%20photos</x:v>
      </x:c>
      <x:c r="M106" s="16" t="str">
        <x:v>https://www.google.com/search?q=Willis%20Tower%20Skydeck%20Chicago%20Illinois%20wikipedia%20OR%20wikivoyage</x:v>
      </x:c>
      <x:c r="N106" s="16" t="str">
        <x:v>https://www.google.com/maps/search/?api=1&amp;query=Willis%20Tower%20Skydeck%2C%20Chicago%2C%20Illinois</x:v>
      </x:c>
      <x:c r="O106" s="17" t="b">
        <x:v>1</x:v>
      </x:c>
      <x:c r="P106" s="16" t="b">
        <x:f>IFERROR(VLOOKUP(A106,States!$A$2:$B$18,2,FALSE),FALSE)</x:f>
        <x:v>1</x:v>
      </x:c>
      <x:c r="Q106" s="16" t="b">
        <x:f>AND(OR(O106=TRUE,O106="TRUE"),OR(P106=TRUE,P106="TRUE"))</x:f>
        <x:v>1</x:v>
      </x:c>
    </x:row>
    <x:row r="107">
      <x:c r="A107" s="16" t="str">
        <x:v>Illinois</x:v>
      </x:c>
      <x:c r="B107" s="16" t="str">
        <x:v>Chicago</x:v>
      </x:c>
      <x:c r="C107" s="16" t="n">
        <x:v>-87.605</x:v>
      </x:c>
      <x:c r="D107" s="16" t="n">
        <x:v>41.891</x:v>
      </x:c>
      <x:c r="E107" s="16" t="str">
        <x:v>Navy Pier</x:v>
      </x:c>
      <x:c r="F107" s="16" t="str">
        <x:v>Families, lakefront walkers</x:v>
      </x:c>
      <x:c r="G107" s="16" t="str">
        <x:v>Lakefront dining, rides, boat tours, and events gather in one place.</x:v>
      </x:c>
      <x:c r="H107" s="16" t="str">
        <x:v>Waterfront</x:v>
      </x:c>
      <x:c r="I107" s="16" t="str">
        <x:v>https://www.google.com/search?q=Navy%20Pier%20Chicago%20Illinois%20official%20website</x:v>
      </x:c>
      <x:c r="J107" s="16" t="str">
        <x:v>https://www.google.com/search?q=site%3Aenjoyillinois.com%20Navy%20Pier</x:v>
      </x:c>
      <x:c r="K107" s="16" t="str">
        <x:v>https://www.google.com/search?q=Navy%20Pier%20Chicago%20Illinois%20visitor%20information</x:v>
      </x:c>
      <x:c r="L107" s="16" t="str">
        <x:v>https://www.google.com/search?q=Navy%20Pier%20Chicago%20Illinois%20photos</x:v>
      </x:c>
      <x:c r="M107" s="16" t="str">
        <x:v>https://www.google.com/search?q=Navy%20Pier%20Chicago%20Illinois%20wikipedia%20OR%20wikivoyage</x:v>
      </x:c>
      <x:c r="N107" s="16" t="str">
        <x:v>https://www.google.com/maps/search/?api=1&amp;query=Navy%20Pier%2C%20Chicago%2C%20Illinois</x:v>
      </x:c>
      <x:c r="O107" s="17" t="b">
        <x:v>1</x:v>
      </x:c>
      <x:c r="P107" s="16" t="b">
        <x:f>IFERROR(VLOOKUP(A107,States!$A$2:$B$18,2,FALSE),FALSE)</x:f>
        <x:v>1</x:v>
      </x:c>
      <x:c r="Q107" s="16" t="b">
        <x:f>AND(OR(O107=TRUE,O107="TRUE"),OR(P107=TRUE,P107="TRUE"))</x:f>
        <x:v>1</x:v>
      </x:c>
    </x:row>
    <x:row r="108">
      <x:c r="A108" s="16" t="str">
        <x:v>Illinois</x:v>
      </x:c>
      <x:c r="B108" s="16" t="str">
        <x:v>Chicago</x:v>
      </x:c>
      <x:c r="C108" s="16" t="n">
        <x:v>-87.635</x:v>
      </x:c>
      <x:c r="D108" s="16" t="n">
        <x:v>41.921</x:v>
      </x:c>
      <x:c r="E108" s="16" t="str">
        <x:v>Lincoln Park Zoo</x:v>
      </x:c>
      <x:c r="F108" s="16" t="str">
        <x:v>Families, animal lovers</x:v>
      </x:c>
      <x:c r="G108" s="16" t="str">
        <x:v>A free zoo sits within a large lakefront park.</x:v>
      </x:c>
      <x:c r="H108" s="16" t="str">
        <x:v>Zoo/Aquarium</x:v>
      </x:c>
      <x:c r="I108" s="16" t="str">
        <x:v>https://www.google.com/search?q=Lincoln%20Park%20Zoo%20Chicago%20Illinois%20official%20website</x:v>
      </x:c>
      <x:c r="J108" s="16" t="str">
        <x:v>https://www.google.com/search?q=site%3Aenjoyillinois.com%20Lincoln%20Park%20Zoo</x:v>
      </x:c>
      <x:c r="K108" s="16" t="str">
        <x:v>https://www.google.com/search?q=Lincoln%20Park%20Zoo%20Chicago%20Illinois%20visitor%20information</x:v>
      </x:c>
      <x:c r="L108" s="16" t="str">
        <x:v>https://www.google.com/search?q=Lincoln%20Park%20Zoo%20Chicago%20Illinois%20photos</x:v>
      </x:c>
      <x:c r="M108" s="16" t="str">
        <x:v>https://www.google.com/search?q=Lincoln%20Park%20Zoo%20Chicago%20Illinois%20wikipedia%20OR%20wikivoyage</x:v>
      </x:c>
      <x:c r="N108" s="16" t="str">
        <x:v>https://www.google.com/maps/search/?api=1&amp;query=Lincoln%20Park%20Zoo%2C%20Chicago%2C%20Illinois</x:v>
      </x:c>
      <x:c r="O108" s="17" t="b">
        <x:v>1</x:v>
      </x:c>
      <x:c r="P108" s="16" t="b">
        <x:f>IFERROR(VLOOKUP(A108,States!$A$2:$B$18,2,FALSE),FALSE)</x:f>
        <x:v>1</x:v>
      </x:c>
      <x:c r="Q108" s="16" t="b">
        <x:f>AND(OR(O108=TRUE,O108="TRUE"),OR(P108=TRUE,P108="TRUE"))</x:f>
        <x:v>1</x:v>
      </x:c>
    </x:row>
    <x:row r="109">
      <x:c r="A109" s="16" t="str">
        <x:v>Illinois</x:v>
      </x:c>
      <x:c r="B109" s="16" t="str">
        <x:v>Chicago</x:v>
      </x:c>
      <x:c r="C109" s="16" t="n">
        <x:v>-87.581</x:v>
      </x:c>
      <x:c r="D109" s="16" t="n">
        <x:v>41.79</x:v>
      </x:c>
      <x:c r="E109" s="16" t="str">
        <x:v>Museum of Science and Industry</x:v>
      </x:c>
      <x:c r="F109" s="16" t="str">
        <x:v>Families, science fans</x:v>
      </x:c>
      <x:c r="G109" s="16" t="str">
        <x:v>Large-scale exhibits make technology, weather, and transport immersive.</x:v>
      </x:c>
      <x:c r="H109" s="16" t="str">
        <x:v>Science</x:v>
      </x:c>
      <x:c r="I109" s="16" t="str">
        <x:v>https://www.google.com/search?q=Museum%20of%20Science%20and%20Industry%20Chicago%20Illinois%20official%20website</x:v>
      </x:c>
      <x:c r="J109" s="16" t="str">
        <x:v>https://www.google.com/search?q=site%3Aenjoyillinois.com%20Museum%20of%20Science%20and%20Industry</x:v>
      </x:c>
      <x:c r="K109" s="16" t="str">
        <x:v>https://www.google.com/search?q=Museum%20of%20Science%20and%20Industry%20Chicago%20Illinois%20visitor%20information</x:v>
      </x:c>
      <x:c r="L109" s="16" t="str">
        <x:v>https://www.google.com/search?q=Museum%20of%20Science%20and%20Industry%20Chicago%20Illinois%20photos</x:v>
      </x:c>
      <x:c r="M109" s="16" t="str">
        <x:v>https://www.google.com/search?q=Museum%20of%20Science%20and%20Industry%20Chicago%20Illinois%20wikipedia%20OR%20wikivoyage</x:v>
      </x:c>
      <x:c r="N109" s="16" t="str">
        <x:v>https://www.google.com/maps/search/?api=1&amp;query=Museum%20of%20Science%20and%20Industry%2C%20Chicago%2C%20Illinois</x:v>
      </x:c>
      <x:c r="O109" s="17" t="b">
        <x:v>1</x:v>
      </x:c>
      <x:c r="P109" s="16" t="b">
        <x:f>IFERROR(VLOOKUP(A109,States!$A$2:$B$18,2,FALSE),FALSE)</x:f>
        <x:v>1</x:v>
      </x:c>
      <x:c r="Q109" s="16" t="b">
        <x:f>AND(OR(O109=TRUE,O109="TRUE"),OR(P109=TRUE,P109="TRUE"))</x:f>
        <x:v>1</x:v>
      </x:c>
    </x:row>
    <x:row r="110">
      <x:c r="A110" s="16" t="str">
        <x:v>Illinois</x:v>
      </x:c>
      <x:c r="B110" s="16" t="str">
        <x:v>Oglesby</x:v>
      </x:c>
      <x:c r="C110" s="16" t="n">
        <x:v>-89.006</x:v>
      </x:c>
      <x:c r="D110" s="16" t="n">
        <x:v>41.32</x:v>
      </x:c>
      <x:c r="E110" s="16" t="str">
        <x:v>Starved Rock State Park</x:v>
      </x:c>
      <x:c r="F110" s="16" t="str">
        <x:v>Hikers, families, waterfall fans</x:v>
      </x:c>
      <x:c r="G110" s="16" t="str">
        <x:v>Canyons, bluffs, and seasonal waterfalls offer a nature break from Chicago.</x:v>
      </x:c>
      <x:c r="H110" s="16" t="str">
        <x:v>Nature</x:v>
      </x:c>
      <x:c r="I110" s="16" t="str">
        <x:v>https://www.google.com/search?q=Starved%20Rock%20State%20Park%20Oglesby%20Illinois%20official%20website</x:v>
      </x:c>
      <x:c r="J110" s="16" t="str">
        <x:v>https://www.google.com/search?q=site%3Aenjoyillinois.com%20Starved%20Rock%20State%20Park</x:v>
      </x:c>
      <x:c r="K110" s="16" t="str">
        <x:v>https://www.google.com/search?q=Starved%20Rock%20State%20Park%20Oglesby%20Illinois%20visitor%20information</x:v>
      </x:c>
      <x:c r="L110" s="16" t="str">
        <x:v>https://www.google.com/search?q=Starved%20Rock%20State%20Park%20Oglesby%20Illinois%20photos</x:v>
      </x:c>
      <x:c r="M110" s="16" t="str">
        <x:v>https://www.google.com/search?q=Starved%20Rock%20State%20Park%20Oglesby%20Illinois%20wikipedia%20OR%20wikivoyage</x:v>
      </x:c>
      <x:c r="N110" s="16" t="str">
        <x:v>https://www.google.com/maps/search/?api=1&amp;query=Starved%20Rock%20State%20Park%2C%20Oglesby%2C%20Illinois</x:v>
      </x:c>
      <x:c r="O110" s="17" t="b">
        <x:v>1</x:v>
      </x:c>
      <x:c r="P110" s="16" t="b">
        <x:f>IFERROR(VLOOKUP(A110,States!$A$2:$B$18,2,FALSE),FALSE)</x:f>
        <x:v>1</x:v>
      </x:c>
      <x:c r="Q110" s="16" t="b">
        <x:f>AND(OR(O110=TRUE,O110="TRUE"),OR(P110=TRUE,P110="TRUE"))</x:f>
        <x:v>1</x:v>
      </x:c>
    </x:row>
    <x:row r="111">
      <x:c r="A111" s="16" t="str">
        <x:v>Illinois</x:v>
      </x:c>
      <x:c r="B111" s="16" t="str">
        <x:v>Collinsville</x:v>
      </x:c>
      <x:c r="C111" s="16" t="n">
        <x:v>-90.064</x:v>
      </x:c>
      <x:c r="D111" s="16" t="n">
        <x:v>38.655</x:v>
      </x:c>
      <x:c r="E111" s="16" t="str">
        <x:v>Cahokia Mounds State Historic Site</x:v>
      </x:c>
      <x:c r="F111" s="16" t="str">
        <x:v>History travelers, students</x:v>
      </x:c>
      <x:c r="G111" s="16" t="str">
        <x:v>Massive Mississippian earthworks reveal a major pre-Columbian city.</x:v>
      </x:c>
      <x:c r="H111" s="16" t="str">
        <x:v>Historic Site</x:v>
      </x:c>
      <x:c r="I111" s="16" t="str">
        <x:v>https://www.google.com/search?q=Cahokia%20Mounds%20State%20Historic%20Site%20Collinsville%20Illinois%20official%20website</x:v>
      </x:c>
      <x:c r="J111" s="16" t="str">
        <x:v>https://www.google.com/search?q=site%3Aenjoyillinois.com%20Cahokia%20Mounds%20State%20Historic%20Site</x:v>
      </x:c>
      <x:c r="K111" s="16" t="str">
        <x:v>https://www.google.com/search?q=Cahokia%20Mounds%20State%20Historic%20Site%20Collinsville%20Illinois%20visitor%20information</x:v>
      </x:c>
      <x:c r="L111" s="16" t="str">
        <x:v>https://www.google.com/search?q=Cahokia%20Mounds%20State%20Historic%20Site%20Collinsville%20Illinois%20photos</x:v>
      </x:c>
      <x:c r="M111" s="16" t="str">
        <x:v>https://www.google.com/search?q=Cahokia%20Mounds%20State%20Historic%20Site%20Collinsville%20Illinois%20wikipedia%20OR%20wikivoyage</x:v>
      </x:c>
      <x:c r="N111" s="16" t="str">
        <x:v>https://www.google.com/maps/search/?api=1&amp;query=Cahokia%20Mounds%20State%20Historic%20Site%2C%20Collinsville%2C%20Illinois</x:v>
      </x:c>
      <x:c r="O111" s="17" t="b">
        <x:v>1</x:v>
      </x:c>
      <x:c r="P111" s="16" t="b">
        <x:f>IFERROR(VLOOKUP(A111,States!$A$2:$B$18,2,FALSE),FALSE)</x:f>
        <x:v>1</x:v>
      </x:c>
      <x:c r="Q111" s="16" t="b">
        <x:f>AND(OR(O111=TRUE,O111="TRUE"),OR(P111=TRUE,P111="TRUE"))</x:f>
        <x:v>1</x:v>
      </x:c>
    </x:row>
    <x:row r="112">
      <x:c r="A112" s="16" t="str">
        <x:v>Illinois</x:v>
      </x:c>
      <x:c r="B112" s="16" t="str">
        <x:v>Springfield</x:v>
      </x:c>
      <x:c r="C112" s="16" t="n">
        <x:v>-89.644</x:v>
      </x:c>
      <x:c r="D112" s="16" t="n">
        <x:v>39.802</x:v>
      </x:c>
      <x:c r="E112" s="16" t="str">
        <x:v>Abraham Lincoln Presidential Library and Museum</x:v>
      </x:c>
      <x:c r="F112" s="16" t="str">
        <x:v>History buffs, families</x:v>
      </x:c>
      <x:c r="G112" s="16" t="str">
        <x:v>Immersive exhibits connect Lincoln's life to Civil War-era America.</x:v>
      </x:c>
      <x:c r="H112" s="16" t="str">
        <x:v>Museum</x:v>
      </x:c>
      <x:c r="I112" s="16" t="str">
        <x:v>https://www.google.com/search?q=Abraham%20Lincoln%20Presidential%20Library%20and%20Museum%20Springfield%20Illinois%20official%20website</x:v>
      </x:c>
      <x:c r="J112" s="16" t="str">
        <x:v>https://www.google.com/search?q=site%3Aenjoyillinois.com%20Abraham%20Lincoln%20Presidential%20Library%20and%20Museum</x:v>
      </x:c>
      <x:c r="K112" s="16" t="str">
        <x:v>https://www.google.com/search?q=Abraham%20Lincoln%20Presidential%20Library%20and%20Museum%20Springfield%20Illinois%20visitor%20information</x:v>
      </x:c>
      <x:c r="L112" s="16" t="str">
        <x:v>https://www.google.com/search?q=Abraham%20Lincoln%20Presidential%20Library%20and%20Museum%20Springfield%20Illinois%20photos</x:v>
      </x:c>
      <x:c r="M112" s="16" t="str">
        <x:v>https://www.google.com/search?q=Abraham%20Lincoln%20Presidential%20Library%20and%20Museum%20Springfield%20Illinois%20wikipedia%20OR%20wikivoyage</x:v>
      </x:c>
      <x:c r="N112" s="16" t="str">
        <x:v>https://www.google.com/maps/search/?api=1&amp;query=Abraham%20Lincoln%20Presidential%20Library%20and%20Museum%2C%20Springfield%2C%20Illinois</x:v>
      </x:c>
      <x:c r="O112" s="17" t="b">
        <x:v>1</x:v>
      </x:c>
      <x:c r="P112" s="16" t="b">
        <x:f>IFERROR(VLOOKUP(A112,States!$A$2:$B$18,2,FALSE),FALSE)</x:f>
        <x:v>1</x:v>
      </x:c>
      <x:c r="Q112" s="16" t="b">
        <x:f>AND(OR(O112=TRUE,O112="TRUE"),OR(P112=TRUE,P112="TRUE"))</x:f>
        <x:v>1</x:v>
      </x:c>
    </x:row>
    <x:row r="113">
      <x:c r="A113" s="16" t="str">
        <x:v>Illinois</x:v>
      </x:c>
      <x:c r="B113" s="16" t="str">
        <x:v>Rockford</x:v>
      </x:c>
      <x:c r="C113" s="16" t="n">
        <x:v>-89.057</x:v>
      </x:c>
      <x:c r="D113" s="16" t="n">
        <x:v>42.295</x:v>
      </x:c>
      <x:c r="E113" s="16" t="str">
        <x:v>Anderson Japanese Gardens</x:v>
      </x:c>
      <x:c r="F113" s="16" t="str">
        <x:v>Garden lovers, photographers</x:v>
      </x:c>
      <x:c r="G113" s="16" t="str">
        <x:v>Carefully composed landscapes create a calm northern Illinois stop.</x:v>
      </x:c>
      <x:c r="H113" s="16" t="str">
        <x:v>Garden</x:v>
      </x:c>
      <x:c r="I113" s="16" t="str">
        <x:v>https://www.google.com/search?q=Anderson%20Japanese%20Gardens%20Rockford%20Illinois%20official%20website</x:v>
      </x:c>
      <x:c r="J113" s="16" t="str">
        <x:v>https://www.google.com/search?q=site%3Aenjoyillinois.com%20Anderson%20Japanese%20Gardens</x:v>
      </x:c>
      <x:c r="K113" s="16" t="str">
        <x:v>https://www.google.com/search?q=Anderson%20Japanese%20Gardens%20Rockford%20Illinois%20visitor%20information</x:v>
      </x:c>
      <x:c r="L113" s="16" t="str">
        <x:v>https://www.google.com/search?q=Anderson%20Japanese%20Gardens%20Rockford%20Illinois%20photos</x:v>
      </x:c>
      <x:c r="M113" s="16" t="str">
        <x:v>https://www.google.com/search?q=Anderson%20Japanese%20Gardens%20Rockford%20Illinois%20wikipedia%20OR%20wikivoyage</x:v>
      </x:c>
      <x:c r="N113" s="16" t="str">
        <x:v>https://www.google.com/maps/search/?api=1&amp;query=Anderson%20Japanese%20Gardens%2C%20Rockford%2C%20Illinois</x:v>
      </x:c>
      <x:c r="O113" s="17" t="b">
        <x:v>1</x:v>
      </x:c>
      <x:c r="P113" s="16" t="b">
        <x:f>IFERROR(VLOOKUP(A113,States!$A$2:$B$18,2,FALSE),FALSE)</x:f>
        <x:v>1</x:v>
      </x:c>
      <x:c r="Q113" s="16" t="b">
        <x:f>AND(OR(O113=TRUE,O113="TRUE"),OR(P113=TRUE,P113="TRUE"))</x:f>
        <x:v>1</x:v>
      </x:c>
    </x:row>
    <x:row r="114">
      <x:c r="A114" s="16" t="str">
        <x:v>Illinois</x:v>
      </x:c>
      <x:c r="B114" s="16" t="str">
        <x:v>Oak Park</x:v>
      </x:c>
      <x:c r="C114" s="16" t="n">
        <x:v>-87.8</x:v>
      </x:c>
      <x:c r="D114" s="16" t="n">
        <x:v>41.894</x:v>
      </x:c>
      <x:c r="E114" s="16" t="str">
        <x:v>Frank Lloyd Wright Home and Studio</x:v>
      </x:c>
      <x:c r="F114" s="16" t="str">
        <x:v>Architecture fans, design travelers</x:v>
      </x:c>
      <x:c r="G114" s="16" t="str">
        <x:v>The site traces Wright's early work and Prairie School evolution.</x:v>
      </x:c>
      <x:c r="H114" s="16" t="str">
        <x:v>Architecture</x:v>
      </x:c>
      <x:c r="I114" s="16" t="str">
        <x:v>https://www.google.com/search?q=Frank%20Lloyd%20Wright%20Home%20and%20Studio%20Oak%20Park%20Illinois%20official%20website</x:v>
      </x:c>
      <x:c r="J114" s="16" t="str">
        <x:v>https://www.google.com/search?q=site%3Aenjoyillinois.com%20Frank%20Lloyd%20Wright%20Home%20and%20Studio</x:v>
      </x:c>
      <x:c r="K114" s="16" t="str">
        <x:v>https://www.google.com/search?q=Frank%20Lloyd%20Wright%20Home%20and%20Studio%20Oak%20Park%20Illinois%20visitor%20information</x:v>
      </x:c>
      <x:c r="L114" s="16" t="str">
        <x:v>https://www.google.com/search?q=Frank%20Lloyd%20Wright%20Home%20and%20Studio%20Oak%20Park%20Illinois%20photos</x:v>
      </x:c>
      <x:c r="M114" s="16" t="str">
        <x:v>https://www.google.com/search?q=Frank%20Lloyd%20Wright%20Home%20and%20Studio%20Oak%20Park%20Illinois%20wikipedia%20OR%20wikivoyage</x:v>
      </x:c>
      <x:c r="N114" s="16" t="str">
        <x:v>https://www.google.com/maps/search/?api=1&amp;query=Frank%20Lloyd%20Wright%20Home%20and%20Studio%2C%20Oak%20Park%2C%20Illinois</x:v>
      </x:c>
      <x:c r="O114" s="17" t="b">
        <x:v>1</x:v>
      </x:c>
      <x:c r="P114" s="16" t="b">
        <x:f>IFERROR(VLOOKUP(A114,States!$A$2:$B$18,2,FALSE),FALSE)</x:f>
        <x:v>1</x:v>
      </x:c>
      <x:c r="Q114" s="16" t="b">
        <x:f>AND(OR(O114=TRUE,O114="TRUE"),OR(P114=TRUE,P114="TRUE"))</x:f>
        <x:v>1</x:v>
      </x:c>
    </x:row>
    <x:row r="115">
      <x:c r="A115" s="16" t="str">
        <x:v>Illinois</x:v>
      </x:c>
      <x:c r="B115" s="16" t="str">
        <x:v>Pontiac</x:v>
      </x:c>
      <x:c r="C115" s="16" t="n">
        <x:v>-88.63</x:v>
      </x:c>
      <x:c r="D115" s="16" t="n">
        <x:v>40.881</x:v>
      </x:c>
      <x:c r="E115" s="16" t="str">
        <x:v>Route 66 Association Hall of Fame and Museum</x:v>
      </x:c>
      <x:c r="F115" s="16" t="str">
        <x:v>Road trippers, nostalgia fans</x:v>
      </x:c>
      <x:c r="G115" s="16" t="str">
        <x:v>Route 66 stories and memorabilia fit a cross-country itinerary.</x:v>
      </x:c>
      <x:c r="H115" s="16" t="str">
        <x:v>Museum</x:v>
      </x:c>
      <x:c r="I115" s="16" t="str">
        <x:v>https://www.google.com/search?q=Route%2066%20Association%20Hall%20of%20Fame%20and%20Museum%20Pontiac%20Illinois%20official%20website</x:v>
      </x:c>
      <x:c r="J115" s="16" t="str">
        <x:v>https://www.google.com/search?q=site%3Aenjoyillinois.com%20Route%2066%20Association%20Hall%20of%20Fame%20and%20Museum</x:v>
      </x:c>
      <x:c r="K115" s="16" t="str">
        <x:v>https://www.google.com/search?q=Route%2066%20Association%20Hall%20of%20Fame%20and%20Museum%20Pontiac%20Illinois%20visitor%20information</x:v>
      </x:c>
      <x:c r="L115" s="16" t="str">
        <x:v>https://www.google.com/search?q=Route%2066%20Association%20Hall%20of%20Fame%20and%20Museum%20Pontiac%20Illinois%20photos</x:v>
      </x:c>
      <x:c r="M115" s="16" t="str">
        <x:v>https://www.google.com/search?q=Route%2066%20Association%20Hall%20of%20Fame%20and%20Museum%20Pontiac%20Illinois%20wikipedia%20OR%20wikivoyage</x:v>
      </x:c>
      <x:c r="N115" s="16" t="str">
        <x:v>https://www.google.com/maps/search/?api=1&amp;query=Route%2066%20Association%20Hall%20of%20Fame%20and%20Museum%2C%20Pontiac%2C%20Illinois</x:v>
      </x:c>
      <x:c r="O115" s="17" t="b">
        <x:v>1</x:v>
      </x:c>
      <x:c r="P115" s="16" t="b">
        <x:f>IFERROR(VLOOKUP(A115,States!$A$2:$B$18,2,FALSE),FALSE)</x:f>
        <x:v>1</x:v>
      </x:c>
      <x:c r="Q115" s="16" t="b">
        <x:f>AND(OR(O115=TRUE,O115="TRUE"),OR(P115=TRUE,P115="TRUE"))</x:f>
        <x:v>1</x:v>
      </x:c>
    </x:row>
    <x:row r="116">
      <x:c r="A116" s="16" t="str">
        <x:v>Illinois</x:v>
      </x:c>
      <x:c r="B116" s="16" t="str">
        <x:v>Herod</x:v>
      </x:c>
      <x:c r="C116" s="16" t="n">
        <x:v>-88.367</x:v>
      </x:c>
      <x:c r="D116" s="16" t="n">
        <x:v>37.604</x:v>
      </x:c>
      <x:c r="E116" s="16" t="str">
        <x:v>Garden of the Gods Recreation Area</x:v>
      </x:c>
      <x:c r="F116" s="16" t="str">
        <x:v>Hikers, photographers</x:v>
      </x:c>
      <x:c r="G116" s="16" t="str">
        <x:v>Sandstone formations and Shawnee Forest views reward a southern detour.</x:v>
      </x:c>
      <x:c r="H116" s="16" t="str">
        <x:v>Nature</x:v>
      </x:c>
      <x:c r="I116" s="16" t="str">
        <x:v>https://www.google.com/search?q=Garden%20of%20the%20Gods%20Recreation%20Area%20Herod%20Illinois%20official%20website</x:v>
      </x:c>
      <x:c r="J116" s="16" t="str">
        <x:v>https://www.google.com/search?q=site%3Aenjoyillinois.com%20Garden%20of%20the%20Gods%20Recreation%20Area</x:v>
      </x:c>
      <x:c r="K116" s="16" t="str">
        <x:v>https://www.google.com/search?q=Garden%20of%20the%20Gods%20Recreation%20Area%20Herod%20Illinois%20visitor%20information</x:v>
      </x:c>
      <x:c r="L116" s="16" t="str">
        <x:v>https://www.google.com/search?q=Garden%20of%20the%20Gods%20Recreation%20Area%20Herod%20Illinois%20photos</x:v>
      </x:c>
      <x:c r="M116" s="16" t="str">
        <x:v>https://www.google.com/search?q=Garden%20of%20the%20Gods%20Recreation%20Area%20Herod%20Illinois%20wikipedia%20OR%20wikivoyage</x:v>
      </x:c>
      <x:c r="N116" s="16" t="str">
        <x:v>https://www.google.com/maps/search/?api=1&amp;query=Garden%20of%20the%20Gods%20Recreation%20Area%2C%20Herod%2C%20Illinois</x:v>
      </x:c>
      <x:c r="O116" s="17" t="b">
        <x:v>1</x:v>
      </x:c>
      <x:c r="P116" s="16" t="b">
        <x:f>IFERROR(VLOOKUP(A116,States!$A$2:$B$18,2,FALSE),FALSE)</x:f>
        <x:v>1</x:v>
      </x:c>
      <x:c r="Q116" s="16" t="b">
        <x:f>AND(OR(O116=TRUE,O116="TRUE"),OR(P116=TRUE,P116="TRUE"))</x:f>
        <x:v>1</x:v>
      </x:c>
    </x:row>
    <x:row r="117">
      <x:c r="A117" s="16" t="str">
        <x:v>Illinois</x:v>
      </x:c>
      <x:c r="B117" s="16" t="str">
        <x:v>Oglesby</x:v>
      </x:c>
      <x:c r="C117" s="16" t="n">
        <x:v>-89.025</x:v>
      </x:c>
      <x:c r="D117" s="16" t="n">
        <x:v>41.295</x:v>
      </x:c>
      <x:c r="E117" s="16" t="str">
        <x:v>Matthiessen State Park</x:v>
      </x:c>
      <x:c r="F117" s="16" t="str">
        <x:v>Hikers, families</x:v>
      </x:c>
      <x:c r="G117" s="16" t="str">
        <x:v>Canyons, bridges, and streams offer a quieter complement to Starved Rock.</x:v>
      </x:c>
      <x:c r="H117" s="16" t="str">
        <x:v>Nature</x:v>
      </x:c>
      <x:c r="I117" s="16" t="str">
        <x:v>https://www.google.com/search?q=Matthiessen%20State%20Park%20Oglesby%20Illinois%20official%20website</x:v>
      </x:c>
      <x:c r="J117" s="16" t="str">
        <x:v>https://www.google.com/search?q=site%3Aenjoyillinois.com%20Matthiessen%20State%20Park</x:v>
      </x:c>
      <x:c r="K117" s="16" t="str">
        <x:v>https://www.google.com/search?q=Matthiessen%20State%20Park%20Oglesby%20Illinois%20visitor%20information</x:v>
      </x:c>
      <x:c r="L117" s="16" t="str">
        <x:v>https://www.google.com/search?q=Matthiessen%20State%20Park%20Oglesby%20Illinois%20photos</x:v>
      </x:c>
      <x:c r="M117" s="16" t="str">
        <x:v>https://www.google.com/search?q=Matthiessen%20State%20Park%20Oglesby%20Illinois%20wikipedia%20OR%20wikivoyage</x:v>
      </x:c>
      <x:c r="N117" s="16" t="str">
        <x:v>https://www.google.com/maps/search/?api=1&amp;query=Matthiessen%20State%20Park%2C%20Oglesby%2C%20Illinois</x:v>
      </x:c>
      <x:c r="O117" s="17" t="b">
        <x:v>1</x:v>
      </x:c>
      <x:c r="P117" s="16" t="b">
        <x:f>IFERROR(VLOOKUP(A117,States!$A$2:$B$18,2,FALSE),FALSE)</x:f>
        <x:v>1</x:v>
      </x:c>
      <x:c r="Q117" s="16" t="b">
        <x:f>AND(OR(O117=TRUE,O117="TRUE"),OR(P117=TRUE,P117="TRUE"))</x:f>
        <x:v>1</x:v>
      </x:c>
    </x:row>
    <x:row r="118">
      <x:c r="A118" s="16" t="str">
        <x:v>Illinois</x:v>
      </x:c>
      <x:c r="B118" s="16" t="str">
        <x:v>Galena</x:v>
      </x:c>
      <x:c r="C118" s="16" t="n">
        <x:v>-90.429</x:v>
      </x:c>
      <x:c r="D118" s="16" t="n">
        <x:v>42.417</x:v>
      </x:c>
      <x:c r="E118" s="16" t="str">
        <x:v>Galena Historic District</x:v>
      </x:c>
      <x:c r="F118" s="16" t="str">
        <x:v>Couples, history travelers</x:v>
      </x:c>
      <x:c r="G118" s="16" t="str">
        <x:v>Nineteenth-century architecture and river bluffs make an atmospheric town stop.</x:v>
      </x:c>
      <x:c r="H118" s="16" t="str">
        <x:v>Scenic Town</x:v>
      </x:c>
      <x:c r="I118" s="16" t="str">
        <x:v>https://www.google.com/search?q=Galena%20Historic%20District%20Galena%20Illinois%20official%20website</x:v>
      </x:c>
      <x:c r="J118" s="16" t="str">
        <x:v>https://www.google.com/search?q=site%3Aenjoyillinois.com%20Galena%20Historic%20District</x:v>
      </x:c>
      <x:c r="K118" s="16" t="str">
        <x:v>https://www.google.com/search?q=Galena%20Historic%20District%20Galena%20Illinois%20visitor%20information</x:v>
      </x:c>
      <x:c r="L118" s="16" t="str">
        <x:v>https://www.google.com/search?q=Galena%20Historic%20District%20Galena%20Illinois%20photos</x:v>
      </x:c>
      <x:c r="M118" s="16" t="str">
        <x:v>https://www.google.com/search?q=Galena%20Historic%20District%20Galena%20Illinois%20wikipedia%20OR%20wikivoyage</x:v>
      </x:c>
      <x:c r="N118" s="16" t="str">
        <x:v>https://www.google.com/maps/search/?api=1&amp;query=Galena%20Historic%20District%2C%20Galena%2C%20Illinois</x:v>
      </x:c>
      <x:c r="O118" s="17" t="b">
        <x:v>1</x:v>
      </x:c>
      <x:c r="P118" s="16" t="b">
        <x:f>IFERROR(VLOOKUP(A118,States!$A$2:$B$18,2,FALSE),FALSE)</x:f>
        <x:v>1</x:v>
      </x:c>
      <x:c r="Q118" s="16" t="b">
        <x:f>AND(OR(O118=TRUE,O118="TRUE"),OR(P118=TRUE,P118="TRUE"))</x:f>
        <x:v>1</x:v>
      </x:c>
    </x:row>
    <x:row r="119">
      <x:c r="A119" s="16" t="str">
        <x:v>Illinois</x:v>
      </x:c>
      <x:c r="B119" s="16" t="str">
        <x:v>Chicago</x:v>
      </x:c>
      <x:c r="C119" s="16" t="n">
        <x:v>-87.626</x:v>
      </x:c>
      <x:c r="D119" s="16" t="n">
        <x:v>41.889</x:v>
      </x:c>
      <x:c r="E119" s="16" t="str">
        <x:v>Chicago Riverwalk</x:v>
      </x:c>
      <x:c r="F119" s="16" t="str">
        <x:v>Walkers, food lovers, architecture fans</x:v>
      </x:c>
      <x:c r="G119" s="16" t="str">
        <x:v>Waterfront paths frame the city's architecture and boat-tour scene.</x:v>
      </x:c>
      <x:c r="H119" s="16" t="str">
        <x:v>Waterfront</x:v>
      </x:c>
      <x:c r="I119" s="16" t="str">
        <x:v>https://www.google.com/search?q=Chicago%20Riverwalk%20Chicago%20Illinois%20official%20website</x:v>
      </x:c>
      <x:c r="J119" s="16" t="str">
        <x:v>https://www.google.com/search?q=site%3Aenjoyillinois.com%20Chicago%20Riverwalk</x:v>
      </x:c>
      <x:c r="K119" s="16" t="str">
        <x:v>https://www.google.com/search?q=Chicago%20Riverwalk%20Chicago%20Illinois%20visitor%20information</x:v>
      </x:c>
      <x:c r="L119" s="16" t="str">
        <x:v>https://www.google.com/search?q=Chicago%20Riverwalk%20Chicago%20Illinois%20photos</x:v>
      </x:c>
      <x:c r="M119" s="16" t="str">
        <x:v>https://www.google.com/search?q=Chicago%20Riverwalk%20Chicago%20Illinois%20wikipedia%20OR%20wikivoyage</x:v>
      </x:c>
      <x:c r="N119" s="16" t="str">
        <x:v>https://www.google.com/maps/search/?api=1&amp;query=Chicago%20Riverwalk%2C%20Chicago%2C%20Illinois</x:v>
      </x:c>
      <x:c r="O119" s="17" t="b">
        <x:v>1</x:v>
      </x:c>
      <x:c r="P119" s="16" t="b">
        <x:f>IFERROR(VLOOKUP(A119,States!$A$2:$B$18,2,FALSE),FALSE)</x:f>
        <x:v>1</x:v>
      </x:c>
      <x:c r="Q119" s="16" t="b">
        <x:f>AND(OR(O119=TRUE,O119="TRUE"),OR(P119=TRUE,P119="TRUE"))</x:f>
        <x:v>1</x:v>
      </x:c>
    </x:row>
    <x:row r="120">
      <x:c r="A120" s="16" t="str">
        <x:v>Illinois</x:v>
      </x:c>
      <x:c r="B120" s="16" t="str">
        <x:v>Chicago</x:v>
      </x:c>
      <x:c r="C120" s="16" t="n">
        <x:v>-87.655</x:v>
      </x:c>
      <x:c r="D120" s="16" t="n">
        <x:v>41.948</x:v>
      </x:c>
      <x:c r="E120" s="16" t="str">
        <x:v>Wrigley Field</x:v>
      </x:c>
      <x:c r="F120" s="16" t="str">
        <x:v>Baseball fans, families</x:v>
      </x:c>
      <x:c r="G120" s="16" t="str">
        <x:v>Historic ballpark atmosphere makes a Cubs game feel rooted in place.</x:v>
      </x:c>
      <x:c r="H120" s="16" t="str">
        <x:v>Sports</x:v>
      </x:c>
      <x:c r="I120" s="16" t="str">
        <x:v>https://www.google.com/search?q=Wrigley%20Field%20Chicago%20Illinois%20official%20website</x:v>
      </x:c>
      <x:c r="J120" s="16" t="str">
        <x:v>https://www.google.com/search?q=site%3Aenjoyillinois.com%20Wrigley%20Field</x:v>
      </x:c>
      <x:c r="K120" s="16" t="str">
        <x:v>https://www.google.com/search?q=Wrigley%20Field%20Chicago%20Illinois%20visitor%20information</x:v>
      </x:c>
      <x:c r="L120" s="16" t="str">
        <x:v>https://www.google.com/search?q=Wrigley%20Field%20Chicago%20Illinois%20photos</x:v>
      </x:c>
      <x:c r="M120" s="16" t="str">
        <x:v>https://www.google.com/search?q=Wrigley%20Field%20Chicago%20Illinois%20wikipedia%20OR%20wikivoyage</x:v>
      </x:c>
      <x:c r="N120" s="16" t="str">
        <x:v>https://www.google.com/maps/search/?api=1&amp;query=Wrigley%20Field%2C%20Chicago%2C%20Illinois</x:v>
      </x:c>
      <x:c r="O120" s="17" t="b">
        <x:v>1</x:v>
      </x:c>
      <x:c r="P120" s="16" t="b">
        <x:f>IFERROR(VLOOKUP(A120,States!$A$2:$B$18,2,FALSE),FALSE)</x:f>
        <x:v>1</x:v>
      </x:c>
      <x:c r="Q120" s="16" t="b">
        <x:f>AND(OR(O120=TRUE,O120="TRUE"),OR(P120=TRUE,P120="TRUE"))</x:f>
        <x:v>1</x:v>
      </x:c>
    </x:row>
    <x:row r="121">
      <x:c r="A121" s="16" t="str">
        <x:v>Illinois</x:v>
      </x:c>
      <x:c r="B121" s="16" t="str">
        <x:v>Union</x:v>
      </x:c>
      <x:c r="C121" s="16" t="n">
        <x:v>-88.526</x:v>
      </x:c>
      <x:c r="D121" s="16" t="n">
        <x:v>42.228</x:v>
      </x:c>
      <x:c r="E121" s="16" t="str">
        <x:v>Illinois Railway Museum</x:v>
      </x:c>
      <x:c r="F121" s="16" t="str">
        <x:v>Train fans, families</x:v>
      </x:c>
      <x:c r="G121" s="16" t="str">
        <x:v>A large operating collection lets visitors ride historic trains.</x:v>
      </x:c>
      <x:c r="H121" s="16" t="str">
        <x:v>Museum</x:v>
      </x:c>
      <x:c r="I121" s="16" t="str">
        <x:v>https://www.google.com/search?q=Illinois%20Railway%20Museum%20Union%20Illinois%20official%20website</x:v>
      </x:c>
      <x:c r="J121" s="16" t="str">
        <x:v>https://www.google.com/search?q=site%3Aenjoyillinois.com%20Illinois%20Railway%20Museum</x:v>
      </x:c>
      <x:c r="K121" s="16" t="str">
        <x:v>https://www.google.com/search?q=Illinois%20Railway%20Museum%20Union%20Illinois%20visitor%20information</x:v>
      </x:c>
      <x:c r="L121" s="16" t="str">
        <x:v>https://www.google.com/search?q=Illinois%20Railway%20Museum%20Union%20Illinois%20photos</x:v>
      </x:c>
      <x:c r="M121" s="16" t="str">
        <x:v>https://www.google.com/search?q=Illinois%20Railway%20Museum%20Union%20Illinois%20wikipedia%20OR%20wikivoyage</x:v>
      </x:c>
      <x:c r="N121" s="16" t="str">
        <x:v>https://www.google.com/maps/search/?api=1&amp;query=Illinois%20Railway%20Museum%2C%20Union%2C%20Illinois</x:v>
      </x:c>
      <x:c r="O121" s="17" t="b">
        <x:v>1</x:v>
      </x:c>
      <x:c r="P121" s="16" t="b">
        <x:f>IFERROR(VLOOKUP(A121,States!$A$2:$B$18,2,FALSE),FALSE)</x:f>
        <x:v>1</x:v>
      </x:c>
      <x:c r="Q121" s="16" t="b">
        <x:f>AND(OR(O121=TRUE,O121="TRUE"),OR(P121=TRUE,P121="TRUE"))</x:f>
        <x:v>1</x:v>
      </x:c>
    </x:row>
    <x:row r="122">
      <x:c r="A122" s="16" t="str">
        <x:v>Wisconsin</x:v>
      </x:c>
      <x:c r="B122" s="16" t="str">
        <x:v>Wisconsin Dells</x:v>
      </x:c>
      <x:c r="C122" s="16" t="n">
        <x:v>-89.779</x:v>
      </x:c>
      <x:c r="D122" s="16" t="n">
        <x:v>43.625</x:v>
      </x:c>
      <x:c r="E122" s="16" t="str">
        <x:v>Noah's Ark Waterpark</x:v>
      </x:c>
      <x:c r="F122" s="16" t="str">
        <x:v>Families, water-park fans</x:v>
      </x:c>
      <x:c r="G122" s="16" t="str">
        <x:v>One of the country's best-known water parks anchors the Dells.</x:v>
      </x:c>
      <x:c r="H122" s="16" t="str">
        <x:v>Water Park</x:v>
      </x:c>
      <x:c r="I122" s="16" t="str">
        <x:v>https://www.google.com/search?q=Noah's%20Ark%20Waterpark%20Wisconsin%20Dells%20Wisconsin%20official%20website</x:v>
      </x:c>
      <x:c r="J122" s="16" t="str">
        <x:v>https://www.google.com/search?q=site%3Atravelwisconsin.com%20Noah's%20Ark%20Waterpark</x:v>
      </x:c>
      <x:c r="K122" s="16" t="str">
        <x:v>https://www.google.com/search?q=Noah's%20Ark%20Waterpark%20Wisconsin%20Dells%20Wisconsin%20visitor%20information</x:v>
      </x:c>
      <x:c r="L122" s="16" t="str">
        <x:v>https://www.google.com/search?q=Noah's%20Ark%20Waterpark%20Wisconsin%20Dells%20Wisconsin%20photos</x:v>
      </x:c>
      <x:c r="M122" s="16" t="str">
        <x:v>https://www.google.com/search?q=Noah's%20Ark%20Waterpark%20Wisconsin%20Dells%20Wisconsin%20wikipedia%20OR%20wikivoyage</x:v>
      </x:c>
      <x:c r="N122" s="16" t="str">
        <x:v>https://www.google.com/maps/search/?api=1&amp;query=Noah's%20Ark%20Waterpark%2C%20Wisconsin%20Dells%2C%20Wisconsin</x:v>
      </x:c>
      <x:c r="O122" s="17" t="b">
        <x:v>1</x:v>
      </x:c>
      <x:c r="P122" s="16" t="b">
        <x:f>IFERROR(VLOOKUP(A122,States!$A$2:$B$18,2,FALSE),FALSE)</x:f>
        <x:v>1</x:v>
      </x:c>
      <x:c r="Q122" s="16" t="b">
        <x:f>AND(OR(O122=TRUE,O122="TRUE"),OR(P122=TRUE,P122="TRUE"))</x:f>
        <x:v>1</x:v>
      </x:c>
    </x:row>
    <x:row r="123">
      <x:c r="A123" s="16" t="str">
        <x:v>Wisconsin</x:v>
      </x:c>
      <x:c r="B123" s="16" t="str">
        <x:v>Green Bay</x:v>
      </x:c>
      <x:c r="C123" s="16" t="n">
        <x:v>-88.062</x:v>
      </x:c>
      <x:c r="D123" s="16" t="n">
        <x:v>44.501</x:v>
      </x:c>
      <x:c r="E123" s="16" t="str">
        <x:v>Lambeau Field</x:v>
      </x:c>
      <x:c r="F123" s="16" t="str">
        <x:v>Football fans, families</x:v>
      </x:c>
      <x:c r="G123" s="16" t="str">
        <x:v>Packers history and stadium tours make it a sports pilgrimage.</x:v>
      </x:c>
      <x:c r="H123" s="16" t="str">
        <x:v>Sports</x:v>
      </x:c>
      <x:c r="I123" s="16" t="str">
        <x:v>https://www.google.com/search?q=Lambeau%20Field%20Green%20Bay%20Wisconsin%20official%20website</x:v>
      </x:c>
      <x:c r="J123" s="16" t="str">
        <x:v>https://www.google.com/search?q=site%3Atravelwisconsin.com%20Lambeau%20Field</x:v>
      </x:c>
      <x:c r="K123" s="16" t="str">
        <x:v>https://www.google.com/search?q=Lambeau%20Field%20Green%20Bay%20Wisconsin%20visitor%20information</x:v>
      </x:c>
      <x:c r="L123" s="16" t="str">
        <x:v>https://www.google.com/search?q=Lambeau%20Field%20Green%20Bay%20Wisconsin%20photos</x:v>
      </x:c>
      <x:c r="M123" s="16" t="str">
        <x:v>https://www.google.com/search?q=Lambeau%20Field%20Green%20Bay%20Wisconsin%20wikipedia%20OR%20wikivoyage</x:v>
      </x:c>
      <x:c r="N123" s="16" t="str">
        <x:v>https://www.google.com/maps/search/?api=1&amp;query=Lambeau%20Field%2C%20Green%20Bay%2C%20Wisconsin</x:v>
      </x:c>
      <x:c r="O123" s="17" t="b">
        <x:v>1</x:v>
      </x:c>
      <x:c r="P123" s="16" t="b">
        <x:f>IFERROR(VLOOKUP(A123,States!$A$2:$B$18,2,FALSE),FALSE)</x:f>
        <x:v>1</x:v>
      </x:c>
      <x:c r="Q123" s="16" t="b">
        <x:f>AND(OR(O123=TRUE,O123="TRUE"),OR(P123=TRUE,P123="TRUE"))</x:f>
        <x:v>1</x:v>
      </x:c>
    </x:row>
    <x:row r="124">
      <x:c r="A124" s="16" t="str">
        <x:v>Wisconsin</x:v>
      </x:c>
      <x:c r="B124" s="16" t="str">
        <x:v>Milwaukee</x:v>
      </x:c>
      <x:c r="C124" s="16" t="n">
        <x:v>-88.038</x:v>
      </x:c>
      <x:c r="D124" s="16" t="n">
        <x:v>43.03</x:v>
      </x:c>
      <x:c r="E124" s="16" t="str">
        <x:v>Milwaukee County Zoo</x:v>
      </x:c>
      <x:c r="F124" s="16" t="str">
        <x:v>Families, animal lovers</x:v>
      </x:c>
      <x:c r="G124" s="16" t="str">
        <x:v>Large habitats and easy logistics make a full family day.</x:v>
      </x:c>
      <x:c r="H124" s="16" t="str">
        <x:v>Zoo/Aquarium</x:v>
      </x:c>
      <x:c r="I124" s="16" t="str">
        <x:v>https://www.google.com/search?q=Milwaukee%20County%20Zoo%20Milwaukee%20Wisconsin%20official%20website</x:v>
      </x:c>
      <x:c r="J124" s="16" t="str">
        <x:v>https://www.google.com/search?q=site%3Atravelwisconsin.com%20Milwaukee%20County%20Zoo</x:v>
      </x:c>
      <x:c r="K124" s="16" t="str">
        <x:v>https://www.google.com/search?q=Milwaukee%20County%20Zoo%20Milwaukee%20Wisconsin%20visitor%20information</x:v>
      </x:c>
      <x:c r="L124" s="16" t="str">
        <x:v>https://www.google.com/search?q=Milwaukee%20County%20Zoo%20Milwaukee%20Wisconsin%20photos</x:v>
      </x:c>
      <x:c r="M124" s="16" t="str">
        <x:v>https://www.google.com/search?q=Milwaukee%20County%20Zoo%20Milwaukee%20Wisconsin%20wikipedia%20OR%20wikivoyage</x:v>
      </x:c>
      <x:c r="N124" s="16" t="str">
        <x:v>https://www.google.com/maps/search/?api=1&amp;query=Milwaukee%20County%20Zoo%2C%20Milwaukee%2C%20Wisconsin</x:v>
      </x:c>
      <x:c r="O124" s="17" t="b">
        <x:v>1</x:v>
      </x:c>
      <x:c r="P124" s="16" t="b">
        <x:f>IFERROR(VLOOKUP(A124,States!$A$2:$B$18,2,FALSE),FALSE)</x:f>
        <x:v>1</x:v>
      </x:c>
      <x:c r="Q124" s="16" t="b">
        <x:f>AND(OR(O124=TRUE,O124="TRUE"),OR(P124=TRUE,P124="TRUE"))</x:f>
        <x:v>1</x:v>
      </x:c>
    </x:row>
    <x:row r="125">
      <x:c r="A125" s="16" t="str">
        <x:v>Wisconsin</x:v>
      </x:c>
      <x:c r="B125" s="16" t="str">
        <x:v>Spring Green</x:v>
      </x:c>
      <x:c r="C125" s="16" t="n">
        <x:v>-90.07</x:v>
      </x:c>
      <x:c r="D125" s="16" t="n">
        <x:v>43.141</x:v>
      </x:c>
      <x:c r="E125" s="16" t="str">
        <x:v>Taliesin</x:v>
      </x:c>
      <x:c r="F125" s="16" t="str">
        <x:v>Architecture fans, design travelers</x:v>
      </x:c>
      <x:c r="G125" s="16" t="str">
        <x:v>Frank Lloyd Wright's Wisconsin home reveals landscape-driven architecture.</x:v>
      </x:c>
      <x:c r="H125" s="16" t="str">
        <x:v>Architecture</x:v>
      </x:c>
      <x:c r="I125" s="16" t="str">
        <x:v>https://www.google.com/search?q=Taliesin%20Spring%20Green%20Wisconsin%20official%20website</x:v>
      </x:c>
      <x:c r="J125" s="16" t="str">
        <x:v>https://www.google.com/search?q=site%3Atravelwisconsin.com%20Taliesin</x:v>
      </x:c>
      <x:c r="K125" s="16" t="str">
        <x:v>https://www.google.com/search?q=Taliesin%20Spring%20Green%20Wisconsin%20visitor%20information</x:v>
      </x:c>
      <x:c r="L125" s="16" t="str">
        <x:v>https://www.google.com/search?q=Taliesin%20Spring%20Green%20Wisconsin%20photos</x:v>
      </x:c>
      <x:c r="M125" s="16" t="str">
        <x:v>https://www.google.com/search?q=Taliesin%20Spring%20Green%20Wisconsin%20wikipedia%20OR%20wikivoyage</x:v>
      </x:c>
      <x:c r="N125" s="16" t="str">
        <x:v>https://www.google.com/maps/search/?api=1&amp;query=Taliesin%2C%20Spring%20Green%2C%20Wisconsin</x:v>
      </x:c>
      <x:c r="O125" s="17" t="b">
        <x:v>1</x:v>
      </x:c>
      <x:c r="P125" s="16" t="b">
        <x:f>IFERROR(VLOOKUP(A125,States!$A$2:$B$18,2,FALSE),FALSE)</x:f>
        <x:v>1</x:v>
      </x:c>
      <x:c r="Q125" s="16" t="b">
        <x:f>AND(OR(O125=TRUE,O125="TRUE"),OR(P125=TRUE,P125="TRUE"))</x:f>
        <x:v>1</x:v>
      </x:c>
    </x:row>
    <x:row r="126">
      <x:c r="A126" s="16" t="str">
        <x:v>Wisconsin</x:v>
      </x:c>
      <x:c r="B126" s="16" t="str">
        <x:v>Milwaukee</x:v>
      </x:c>
      <x:c r="C126" s="16" t="n">
        <x:v>-87.896</x:v>
      </x:c>
      <x:c r="D126" s="16" t="n">
        <x:v>43.037</x:v>
      </x:c>
      <x:c r="E126" s="16" t="str">
        <x:v>Discovery World</x:v>
      </x:c>
      <x:c r="F126" s="16" t="str">
        <x:v>Families, science fans</x:v>
      </x:c>
      <x:c r="G126" s="16" t="str">
        <x:v>Hands-on science and technology exhibits sit on the lakefront.</x:v>
      </x:c>
      <x:c r="H126" s="16" t="str">
        <x:v>Science</x:v>
      </x:c>
      <x:c r="I126" s="16" t="str">
        <x:v>https://www.google.com/search?q=Discovery%20World%20Milwaukee%20Wisconsin%20official%20website</x:v>
      </x:c>
      <x:c r="J126" s="16" t="str">
        <x:v>https://www.google.com/search?q=site%3Atravelwisconsin.com%20Discovery%20World</x:v>
      </x:c>
      <x:c r="K126" s="16" t="str">
        <x:v>https://www.google.com/search?q=Discovery%20World%20Milwaukee%20Wisconsin%20visitor%20information</x:v>
      </x:c>
      <x:c r="L126" s="16" t="str">
        <x:v>https://www.google.com/search?q=Discovery%20World%20Milwaukee%20Wisconsin%20photos</x:v>
      </x:c>
      <x:c r="M126" s="16" t="str">
        <x:v>https://www.google.com/search?q=Discovery%20World%20Milwaukee%20Wisconsin%20wikipedia%20OR%20wikivoyage</x:v>
      </x:c>
      <x:c r="N126" s="16" t="str">
        <x:v>https://www.google.com/maps/search/?api=1&amp;query=Discovery%20World%2C%20Milwaukee%2C%20Wisconsin</x:v>
      </x:c>
      <x:c r="O126" s="17" t="b">
        <x:v>1</x:v>
      </x:c>
      <x:c r="P126" s="16" t="b">
        <x:f>IFERROR(VLOOKUP(A126,States!$A$2:$B$18,2,FALSE),FALSE)</x:f>
        <x:v>1</x:v>
      </x:c>
      <x:c r="Q126" s="16" t="b">
        <x:f>AND(OR(O126=TRUE,O126="TRUE"),OR(P126=TRUE,P126="TRUE"))</x:f>
        <x:v>1</x:v>
      </x:c>
    </x:row>
    <x:row r="127">
      <x:c r="A127" s="16" t="str">
        <x:v>Wisconsin</x:v>
      </x:c>
      <x:c r="B127" s="16" t="str">
        <x:v>Green Bay</x:v>
      </x:c>
      <x:c r="C127" s="16" t="n">
        <x:v>-88.016</x:v>
      </x:c>
      <x:c r="D127" s="16" t="n">
        <x:v>44.529</x:v>
      </x:c>
      <x:c r="E127" s="16" t="str">
        <x:v>Bay Beach Amusement Park</x:v>
      </x:c>
      <x:c r="F127" s="16" t="str">
        <x:v>Families, budget travelers</x:v>
      </x:c>
      <x:c r="G127" s="16" t="str">
        <x:v>Classic rides and low prices make an easy Green Bay outing.</x:v>
      </x:c>
      <x:c r="H127" s="16" t="str">
        <x:v>Theme Park</x:v>
      </x:c>
      <x:c r="I127" s="16" t="str">
        <x:v>https://www.google.com/search?q=Bay%20Beach%20Amusement%20Park%20Green%20Bay%20Wisconsin%20official%20website</x:v>
      </x:c>
      <x:c r="J127" s="16" t="str">
        <x:v>https://www.google.com/search?q=site%3Atravelwisconsin.com%20Bay%20Beach%20Amusement%20Park</x:v>
      </x:c>
      <x:c r="K127" s="16" t="str">
        <x:v>https://www.google.com/search?q=Bay%20Beach%20Amusement%20Park%20Green%20Bay%20Wisconsin%20visitor%20information</x:v>
      </x:c>
      <x:c r="L127" s="16" t="str">
        <x:v>https://www.google.com/search?q=Bay%20Beach%20Amusement%20Park%20Green%20Bay%20Wisconsin%20photos</x:v>
      </x:c>
      <x:c r="M127" s="16" t="str">
        <x:v>https://www.google.com/search?q=Bay%20Beach%20Amusement%20Park%20Green%20Bay%20Wisconsin%20wikipedia%20OR%20wikivoyage</x:v>
      </x:c>
      <x:c r="N127" s="16" t="str">
        <x:v>https://www.google.com/maps/search/?api=1&amp;query=Bay%20Beach%20Amusement%20Park%2C%20Green%20Bay%2C%20Wisconsin</x:v>
      </x:c>
      <x:c r="O127" s="17" t="b">
        <x:v>1</x:v>
      </x:c>
      <x:c r="P127" s="16" t="b">
        <x:f>IFERROR(VLOOKUP(A127,States!$A$2:$B$18,2,FALSE),FALSE)</x:f>
        <x:v>1</x:v>
      </x:c>
      <x:c r="Q127" s="16" t="b">
        <x:f>AND(OR(O127=TRUE,O127="TRUE"),OR(P127=TRUE,P127="TRUE"))</x:f>
        <x:v>1</x:v>
      </x:c>
    </x:row>
    <x:row r="128">
      <x:c r="A128" s="16" t="str">
        <x:v>Wisconsin</x:v>
      </x:c>
      <x:c r="B128" s="16" t="str">
        <x:v>Spring Green</x:v>
      </x:c>
      <x:c r="C128" s="16" t="n">
        <x:v>-90.134</x:v>
      </x:c>
      <x:c r="D128" s="16" t="n">
        <x:v>43.1</x:v>
      </x:c>
      <x:c r="E128" s="16" t="str">
        <x:v>House on the Rock</x:v>
      </x:c>
      <x:c r="F128" s="16" t="str">
        <x:v>Curious travelers, families</x:v>
      </x:c>
      <x:c r="G128" s="16" t="str">
        <x:v>A maximalist roadside attraction full of collections and surreal rooms.</x:v>
      </x:c>
      <x:c r="H128" s="16" t="str">
        <x:v>Roadside</x:v>
      </x:c>
      <x:c r="I128" s="16" t="str">
        <x:v>https://www.google.com/search?q=House%20on%20the%20Rock%20Spring%20Green%20Wisconsin%20official%20website</x:v>
      </x:c>
      <x:c r="J128" s="16" t="str">
        <x:v>https://www.google.com/search?q=site%3Atravelwisconsin.com%20House%20on%20the%20Rock</x:v>
      </x:c>
      <x:c r="K128" s="16" t="str">
        <x:v>https://www.google.com/search?q=House%20on%20the%20Rock%20Spring%20Green%20Wisconsin%20visitor%20information</x:v>
      </x:c>
      <x:c r="L128" s="16" t="str">
        <x:v>https://www.google.com/search?q=House%20on%20the%20Rock%20Spring%20Green%20Wisconsin%20photos</x:v>
      </x:c>
      <x:c r="M128" s="16" t="str">
        <x:v>https://www.google.com/search?q=House%20on%20the%20Rock%20Spring%20Green%20Wisconsin%20wikipedia%20OR%20wikivoyage</x:v>
      </x:c>
      <x:c r="N128" s="16" t="str">
        <x:v>https://www.google.com/maps/search/?api=1&amp;query=House%20on%20the%20Rock%2C%20Spring%20Green%2C%20Wisconsin</x:v>
      </x:c>
      <x:c r="O128" s="17" t="b">
        <x:v>1</x:v>
      </x:c>
      <x:c r="P128" s="16" t="b">
        <x:f>IFERROR(VLOOKUP(A128,States!$A$2:$B$18,2,FALSE),FALSE)</x:f>
        <x:v>1</x:v>
      </x:c>
      <x:c r="Q128" s="16" t="b">
        <x:f>AND(OR(O128=TRUE,O128="TRUE"),OR(P128=TRUE,P128="TRUE"))</x:f>
        <x:v>1</x:v>
      </x:c>
    </x:row>
    <x:row r="129">
      <x:c r="A129" s="16" t="str">
        <x:v>Wisconsin</x:v>
      </x:c>
      <x:c r="B129" s="16" t="str">
        <x:v>Baileys Harbor</x:v>
      </x:c>
      <x:c r="C129" s="16" t="n">
        <x:v>-87.048</x:v>
      </x:c>
      <x:c r="D129" s="16" t="n">
        <x:v>45.089</x:v>
      </x:c>
      <x:c r="E129" s="16" t="str">
        <x:v>Cana Island Lighthouse</x:v>
      </x:c>
      <x:c r="F129" s="16" t="str">
        <x:v>Families, photographers</x:v>
      </x:c>
      <x:c r="G129" s="16" t="str">
        <x:v>Door County lighthouse views come with a short causeway crossing.</x:v>
      </x:c>
      <x:c r="H129" s="16" t="str">
        <x:v>Historic Site</x:v>
      </x:c>
      <x:c r="I129" s="16" t="str">
        <x:v>https://www.google.com/search?q=Cana%20Island%20Lighthouse%20Baileys%20Harbor%20Wisconsin%20official%20website</x:v>
      </x:c>
      <x:c r="J129" s="16" t="str">
        <x:v>https://www.google.com/search?q=site%3Atravelwisconsin.com%20Cana%20Island%20Lighthouse</x:v>
      </x:c>
      <x:c r="K129" s="16" t="str">
        <x:v>https://www.google.com/search?q=Cana%20Island%20Lighthouse%20Baileys%20Harbor%20Wisconsin%20visitor%20information</x:v>
      </x:c>
      <x:c r="L129" s="16" t="str">
        <x:v>https://www.google.com/search?q=Cana%20Island%20Lighthouse%20Baileys%20Harbor%20Wisconsin%20photos</x:v>
      </x:c>
      <x:c r="M129" s="16" t="str">
        <x:v>https://www.google.com/search?q=Cana%20Island%20Lighthouse%20Baileys%20Harbor%20Wisconsin%20wikipedia%20OR%20wikivoyage</x:v>
      </x:c>
      <x:c r="N129" s="16" t="str">
        <x:v>https://www.google.com/maps/search/?api=1&amp;query=Cana%20Island%20Lighthouse%2C%20Baileys%20Harbor%2C%20Wisconsin</x:v>
      </x:c>
      <x:c r="O129" s="17" t="b">
        <x:v>1</x:v>
      </x:c>
      <x:c r="P129" s="16" t="b">
        <x:f>IFERROR(VLOOKUP(A129,States!$A$2:$B$18,2,FALSE),FALSE)</x:f>
        <x:v>1</x:v>
      </x:c>
      <x:c r="Q129" s="16" t="b">
        <x:f>AND(OR(O129=TRUE,O129="TRUE"),OR(P129=TRUE,P129="TRUE"))</x:f>
        <x:v>1</x:v>
      </x:c>
    </x:row>
    <x:row r="130">
      <x:c r="A130" s="16" t="str">
        <x:v>Wisconsin</x:v>
      </x:c>
      <x:c r="B130" s="16" t="str">
        <x:v>Blue Mounds</x:v>
      </x:c>
      <x:c r="C130" s="16" t="n">
        <x:v>-89.815</x:v>
      </x:c>
      <x:c r="D130" s="16" t="n">
        <x:v>43.018</x:v>
      </x:c>
      <x:c r="E130" s="16" t="str">
        <x:v>Cave of the Mounds</x:v>
      </x:c>
      <x:c r="F130" s="16" t="str">
        <x:v>Families, geology fans</x:v>
      </x:c>
      <x:c r="G130" s="16" t="str">
        <x:v>Guided cave tours reveal colorful formations near Madison.</x:v>
      </x:c>
      <x:c r="H130" s="16" t="str">
        <x:v>Cave</x:v>
      </x:c>
      <x:c r="I130" s="16" t="str">
        <x:v>https://www.google.com/search?q=Cave%20of%20the%20Mounds%20Blue%20Mounds%20Wisconsin%20official%20website</x:v>
      </x:c>
      <x:c r="J130" s="16" t="str">
        <x:v>https://www.google.com/search?q=site%3Atravelwisconsin.com%20Cave%20of%20the%20Mounds</x:v>
      </x:c>
      <x:c r="K130" s="16" t="str">
        <x:v>https://www.google.com/search?q=Cave%20of%20the%20Mounds%20Blue%20Mounds%20Wisconsin%20visitor%20information</x:v>
      </x:c>
      <x:c r="L130" s="16" t="str">
        <x:v>https://www.google.com/search?q=Cave%20of%20the%20Mounds%20Blue%20Mounds%20Wisconsin%20photos</x:v>
      </x:c>
      <x:c r="M130" s="16" t="str">
        <x:v>https://www.google.com/search?q=Cave%20of%20the%20Mounds%20Blue%20Mounds%20Wisconsin%20wikipedia%20OR%20wikivoyage</x:v>
      </x:c>
      <x:c r="N130" s="16" t="str">
        <x:v>https://www.google.com/maps/search/?api=1&amp;query=Cave%20of%20the%20Mounds%2C%20Blue%20Mounds%2C%20Wisconsin</x:v>
      </x:c>
      <x:c r="O130" s="17" t="b">
        <x:v>1</x:v>
      </x:c>
      <x:c r="P130" s="16" t="b">
        <x:f>IFERROR(VLOOKUP(A130,States!$A$2:$B$18,2,FALSE),FALSE)</x:f>
        <x:v>1</x:v>
      </x:c>
      <x:c r="Q130" s="16" t="b">
        <x:f>AND(OR(O130=TRUE,O130="TRUE"),OR(P130=TRUE,P130="TRUE"))</x:f>
        <x:v>1</x:v>
      </x:c>
    </x:row>
    <x:row r="131">
      <x:c r="A131" s="16" t="str">
        <x:v>Wisconsin</x:v>
      </x:c>
      <x:c r="B131" s="16" t="str">
        <x:v>Osceola</x:v>
      </x:c>
      <x:c r="C131" s="16" t="n">
        <x:v>-92.704</x:v>
      </x:c>
      <x:c r="D131" s="16" t="n">
        <x:v>45.32</x:v>
      </x:c>
      <x:c r="E131" s="16" t="str">
        <x:v>Osceola and St. Croix Valley Railway</x:v>
      </x:c>
      <x:c r="F131" s="16" t="str">
        <x:v>Train fans, families</x:v>
      </x:c>
      <x:c r="G131" s="16" t="str">
        <x:v>Scenic heritage train rides follow river-valley landscapes.</x:v>
      </x:c>
      <x:c r="H131" s="16" t="str">
        <x:v>Scenic Railway</x:v>
      </x:c>
      <x:c r="I131" s="16" t="str">
        <x:v>https://www.google.com/search?q=Osceola%20and%20St.%20Croix%20Valley%20Railway%20Osceola%20Wisconsin%20official%20website</x:v>
      </x:c>
      <x:c r="J131" s="16" t="str">
        <x:v>https://www.google.com/search?q=site%3Atravelwisconsin.com%20Osceola%20and%20St.%20Croix%20Valley%20Railway</x:v>
      </x:c>
      <x:c r="K131" s="16" t="str">
        <x:v>https://www.google.com/search?q=Osceola%20and%20St.%20Croix%20Valley%20Railway%20Osceola%20Wisconsin%20visitor%20information</x:v>
      </x:c>
      <x:c r="L131" s="16" t="str">
        <x:v>https://www.google.com/search?q=Osceola%20and%20St.%20Croix%20Valley%20Railway%20Osceola%20Wisconsin%20photos</x:v>
      </x:c>
      <x:c r="M131" s="16" t="str">
        <x:v>https://www.google.com/search?q=Osceola%20and%20St.%20Croix%20Valley%20Railway%20Osceola%20Wisconsin%20wikipedia%20OR%20wikivoyage</x:v>
      </x:c>
      <x:c r="N131" s="16" t="str">
        <x:v>https://www.google.com/maps/search/?api=1&amp;query=Osceola%20and%20St.%20Croix%20Valley%20Railway%2C%20Osceola%2C%20Wisconsin</x:v>
      </x:c>
      <x:c r="O131" s="17" t="b">
        <x:v>1</x:v>
      </x:c>
      <x:c r="P131" s="16" t="b">
        <x:f>IFERROR(VLOOKUP(A131,States!$A$2:$B$18,2,FALSE),FALSE)</x:f>
        <x:v>1</x:v>
      </x:c>
      <x:c r="Q131" s="16" t="b">
        <x:f>AND(OR(O131=TRUE,O131="TRUE"),OR(P131=TRUE,P131="TRUE"))</x:f>
        <x:v>1</x:v>
      </x:c>
    </x:row>
    <x:row r="132">
      <x:c r="A132" s="16" t="str">
        <x:v>Wisconsin</x:v>
      </x:c>
      <x:c r="B132" s="16" t="str">
        <x:v>Bayside</x:v>
      </x:c>
      <x:c r="C132" s="16" t="n">
        <x:v>-87.895</x:v>
      </x:c>
      <x:c r="D132" s="16" t="n">
        <x:v>43.181</x:v>
      </x:c>
      <x:c r="E132" s="16" t="str">
        <x:v>Schlitz Audubon Nature Center</x:v>
      </x:c>
      <x:c r="F132" s="16" t="str">
        <x:v>Families, birders, walkers</x:v>
      </x:c>
      <x:c r="G132" s="16" t="str">
        <x:v>Lake Michigan trails and raptor programs make nature accessible.</x:v>
      </x:c>
      <x:c r="H132" s="16" t="str">
        <x:v>Nature</x:v>
      </x:c>
      <x:c r="I132" s="16" t="str">
        <x:v>https://www.google.com/search?q=Schlitz%20Audubon%20Nature%20Center%20Bayside%20Wisconsin%20official%20website</x:v>
      </x:c>
      <x:c r="J132" s="16" t="str">
        <x:v>https://www.google.com/search?q=site%3Atravelwisconsin.com%20Schlitz%20Audubon%20Nature%20Center</x:v>
      </x:c>
      <x:c r="K132" s="16" t="str">
        <x:v>https://www.google.com/search?q=Schlitz%20Audubon%20Nature%20Center%20Bayside%20Wisconsin%20visitor%20information</x:v>
      </x:c>
      <x:c r="L132" s="16" t="str">
        <x:v>https://www.google.com/search?q=Schlitz%20Audubon%20Nature%20Center%20Bayside%20Wisconsin%20photos</x:v>
      </x:c>
      <x:c r="M132" s="16" t="str">
        <x:v>https://www.google.com/search?q=Schlitz%20Audubon%20Nature%20Center%20Bayside%20Wisconsin%20wikipedia%20OR%20wikivoyage</x:v>
      </x:c>
      <x:c r="N132" s="16" t="str">
        <x:v>https://www.google.com/maps/search/?api=1&amp;query=Schlitz%20Audubon%20Nature%20Center%2C%20Bayside%2C%20Wisconsin</x:v>
      </x:c>
      <x:c r="O132" s="17" t="b">
        <x:v>1</x:v>
      </x:c>
      <x:c r="P132" s="16" t="b">
        <x:f>IFERROR(VLOOKUP(A132,States!$A$2:$B$18,2,FALSE),FALSE)</x:f>
        <x:v>1</x:v>
      </x:c>
      <x:c r="Q132" s="16" t="b">
        <x:f>AND(OR(O132=TRUE,O132="TRUE"),OR(P132=TRUE,P132="TRUE"))</x:f>
        <x:v>1</x:v>
      </x:c>
    </x:row>
    <x:row r="133">
      <x:c r="A133" s="16" t="str">
        <x:v>Wisconsin</x:v>
      </x:c>
      <x:c r="B133" s="16" t="str">
        <x:v>Wisconsin Dells</x:v>
      </x:c>
      <x:c r="C133" s="16" t="n">
        <x:v>-89.771</x:v>
      </x:c>
      <x:c r="D133" s="16" t="n">
        <x:v>43.627</x:v>
      </x:c>
      <x:c r="E133" s="16" t="str">
        <x:v>Wisconsin Dells Scenic Boat Tours</x:v>
      </x:c>
      <x:c r="F133" s="16" t="str">
        <x:v>Families, photographers</x:v>
      </x:c>
      <x:c r="G133" s="16" t="str">
        <x:v>River tours pass sandstone formations that made the Dells famous.</x:v>
      </x:c>
      <x:c r="H133" s="16" t="str">
        <x:v>Waterfront</x:v>
      </x:c>
      <x:c r="I133" s="16" t="str">
        <x:v>https://www.google.com/search?q=Wisconsin%20Dells%20Scenic%20Boat%20Tours%20Wisconsin%20Dells%20Wisconsin%20official%20website</x:v>
      </x:c>
      <x:c r="J133" s="16" t="str">
        <x:v>https://www.google.com/search?q=site%3Atravelwisconsin.com%20Wisconsin%20Dells%20Scenic%20Boat%20Tours</x:v>
      </x:c>
      <x:c r="K133" s="16" t="str">
        <x:v>https://www.google.com/search?q=Wisconsin%20Dells%20Scenic%20Boat%20Tours%20Wisconsin%20Dells%20Wisconsin%20visitor%20information</x:v>
      </x:c>
      <x:c r="L133" s="16" t="str">
        <x:v>https://www.google.com/search?q=Wisconsin%20Dells%20Scenic%20Boat%20Tours%20Wisconsin%20Dells%20Wisconsin%20photos</x:v>
      </x:c>
      <x:c r="M133" s="16" t="str">
        <x:v>https://www.google.com/search?q=Wisconsin%20Dells%20Scenic%20Boat%20Tours%20Wisconsin%20Dells%20Wisconsin%20wikipedia%20OR%20wikivoyage</x:v>
      </x:c>
      <x:c r="N133" s="16" t="str">
        <x:v>https://www.google.com/maps/search/?api=1&amp;query=Wisconsin%20Dells%20Scenic%20Boat%20Tours%2C%20Wisconsin%20Dells%2C%20Wisconsin</x:v>
      </x:c>
      <x:c r="O133" s="17" t="b">
        <x:v>1</x:v>
      </x:c>
      <x:c r="P133" s="16" t="b">
        <x:f>IFERROR(VLOOKUP(A133,States!$A$2:$B$18,2,FALSE),FALSE)</x:f>
        <x:v>1</x:v>
      </x:c>
      <x:c r="Q133" s="16" t="b">
        <x:f>AND(OR(O133=TRUE,O133="TRUE"),OR(P133=TRUE,P133="TRUE"))</x:f>
        <x:v>1</x:v>
      </x:c>
    </x:row>
    <x:row r="134">
      <x:c r="A134" s="16" t="str">
        <x:v>Wisconsin</x:v>
      </x:c>
      <x:c r="B134" s="16" t="str">
        <x:v>Bayfield</x:v>
      </x:c>
      <x:c r="C134" s="16" t="n">
        <x:v>-90.665</x:v>
      </x:c>
      <x:c r="D134" s="16" t="n">
        <x:v>46.962</x:v>
      </x:c>
      <x:c r="E134" s="16" t="str">
        <x:v>Apostle Islands National Lakeshore</x:v>
      </x:c>
      <x:c r="F134" s="16" t="str">
        <x:v>Paddlers, hikers, photographers</x:v>
      </x:c>
      <x:c r="G134" s="16" t="str">
        <x:v>Sea caves, islands, and Lake Superior shorelines feel wild and memorable.</x:v>
      </x:c>
      <x:c r="H134" s="16" t="str">
        <x:v>National Park</x:v>
      </x:c>
      <x:c r="I134" s="16" t="str">
        <x:v>https://www.google.com/search?q=Apostle%20Islands%20National%20Lakeshore%20Bayfield%20Wisconsin%20official%20website</x:v>
      </x:c>
      <x:c r="J134" s="16" t="str">
        <x:v>https://www.google.com/search?q=site%3Atravelwisconsin.com%20Apostle%20Islands%20National%20Lakeshore</x:v>
      </x:c>
      <x:c r="K134" s="16" t="str">
        <x:v>https://www.google.com/search?q=Apostle%20Islands%20National%20Lakeshore%20Bayfield%20Wisconsin%20visitor%20information</x:v>
      </x:c>
      <x:c r="L134" s="16" t="str">
        <x:v>https://www.google.com/search?q=Apostle%20Islands%20National%20Lakeshore%20Bayfield%20Wisconsin%20photos</x:v>
      </x:c>
      <x:c r="M134" s="16" t="str">
        <x:v>https://www.google.com/search?q=site%3Anps.gov%20Apostle%20Islands%20National%20Lakeshore</x:v>
      </x:c>
      <x:c r="N134" s="16" t="str">
        <x:v>https://www.google.com/maps/search/?api=1&amp;query=Apostle%20Islands%20National%20Lakeshore%2C%20Bayfield%2C%20Wisconsin</x:v>
      </x:c>
      <x:c r="O134" s="17" t="b">
        <x:v>1</x:v>
      </x:c>
      <x:c r="P134" s="16" t="b">
        <x:f>IFERROR(VLOOKUP(A134,States!$A$2:$B$18,2,FALSE),FALSE)</x:f>
        <x:v>1</x:v>
      </x:c>
      <x:c r="Q134" s="16" t="b">
        <x:f>AND(OR(O134=TRUE,O134="TRUE"),OR(P134=TRUE,P134="TRUE"))</x:f>
        <x:v>1</x:v>
      </x:c>
    </x:row>
    <x:row r="135">
      <x:c r="A135" s="16" t="str">
        <x:v>Wisconsin</x:v>
      </x:c>
      <x:c r="B135" s="16" t="str">
        <x:v>Fish Creek</x:v>
      </x:c>
      <x:c r="C135" s="16" t="n">
        <x:v>-87.247</x:v>
      </x:c>
      <x:c r="D135" s="16" t="n">
        <x:v>45.128</x:v>
      </x:c>
      <x:c r="E135" s="16" t="str">
        <x:v>Door County Peninsula State Park</x:v>
      </x:c>
      <x:c r="F135" s="16" t="str">
        <x:v>Families, cyclists, couples</x:v>
      </x:c>
      <x:c r="G135" s="16" t="str">
        <x:v>Shoreline roads, bluffs, beaches, and villages define Door County.</x:v>
      </x:c>
      <x:c r="H135" s="16" t="str">
        <x:v>Nature</x:v>
      </x:c>
      <x:c r="I135" s="16" t="str">
        <x:v>https://www.google.com/search?q=Door%20County%20Peninsula%20State%20Park%20Fish%20Creek%20Wisconsin%20official%20website</x:v>
      </x:c>
      <x:c r="J135" s="16" t="str">
        <x:v>https://www.google.com/search?q=site%3Atravelwisconsin.com%20Door%20County%20Peninsula%20State%20Park</x:v>
      </x:c>
      <x:c r="K135" s="16" t="str">
        <x:v>https://www.google.com/search?q=Door%20County%20Peninsula%20State%20Park%20Fish%20Creek%20Wisconsin%20visitor%20information</x:v>
      </x:c>
      <x:c r="L135" s="16" t="str">
        <x:v>https://www.google.com/search?q=Door%20County%20Peninsula%20State%20Park%20Fish%20Creek%20Wisconsin%20photos</x:v>
      </x:c>
      <x:c r="M135" s="16" t="str">
        <x:v>https://www.google.com/search?q=Door%20County%20Peninsula%20State%20Park%20Fish%20Creek%20Wisconsin%20wikipedia%20OR%20wikivoyage</x:v>
      </x:c>
      <x:c r="N135" s="16" t="str">
        <x:v>https://www.google.com/maps/search/?api=1&amp;query=Door%20County%20Peninsula%20State%20Park%2C%20Fish%20Creek%2C%20Wisconsin</x:v>
      </x:c>
      <x:c r="O135" s="17" t="b">
        <x:v>1</x:v>
      </x:c>
      <x:c r="P135" s="16" t="b">
        <x:f>IFERROR(VLOOKUP(A135,States!$A$2:$B$18,2,FALSE),FALSE)</x:f>
        <x:v>1</x:v>
      </x:c>
      <x:c r="Q135" s="16" t="b">
        <x:f>AND(OR(O135=TRUE,O135="TRUE"),OR(P135=TRUE,P135="TRUE"))</x:f>
        <x:v>1</x:v>
      </x:c>
    </x:row>
    <x:row r="136">
      <x:c r="A136" s="16" t="str">
        <x:v>Wisconsin</x:v>
      </x:c>
      <x:c r="B136" s="16" t="str">
        <x:v>Milwaukee</x:v>
      </x:c>
      <x:c r="C136" s="16" t="n">
        <x:v>-87.916</x:v>
      </x:c>
      <x:c r="D136" s="16" t="n">
        <x:v>43.032</x:v>
      </x:c>
      <x:c r="E136" s="16" t="str">
        <x:v>Harley-Davidson Museum</x:v>
      </x:c>
      <x:c r="F136" s="16" t="str">
        <x:v>Motorcycle fans, design travelers</x:v>
      </x:c>
      <x:c r="G136" s="16" t="str">
        <x:v>Motorcycle history and industrial design are presented with strong visual punch.</x:v>
      </x:c>
      <x:c r="H136" s="16" t="str">
        <x:v>Museum</x:v>
      </x:c>
      <x:c r="I136" s="16" t="str">
        <x:v>https://www.google.com/search?q=Harley-Davidson%20Museum%20Milwaukee%20Wisconsin%20official%20website</x:v>
      </x:c>
      <x:c r="J136" s="16" t="str">
        <x:v>https://www.google.com/search?q=site%3Atravelwisconsin.com%20Harley-Davidson%20Museum</x:v>
      </x:c>
      <x:c r="K136" s="16" t="str">
        <x:v>https://www.google.com/search?q=Harley-Davidson%20Museum%20Milwaukee%20Wisconsin%20visitor%20information</x:v>
      </x:c>
      <x:c r="L136" s="16" t="str">
        <x:v>https://www.google.com/search?q=Harley-Davidson%20Museum%20Milwaukee%20Wisconsin%20photos</x:v>
      </x:c>
      <x:c r="M136" s="16" t="str">
        <x:v>https://www.google.com/search?q=Harley-Davidson%20Museum%20Milwaukee%20Wisconsin%20wikipedia%20OR%20wikivoyage</x:v>
      </x:c>
      <x:c r="N136" s="16" t="str">
        <x:v>https://www.google.com/maps/search/?api=1&amp;query=Harley-Davidson%20Museum%2C%20Milwaukee%2C%20Wisconsin</x:v>
      </x:c>
      <x:c r="O136" s="17" t="b">
        <x:v>1</x:v>
      </x:c>
      <x:c r="P136" s="16" t="b">
        <x:f>IFERROR(VLOOKUP(A136,States!$A$2:$B$18,2,FALSE),FALSE)</x:f>
        <x:v>1</x:v>
      </x:c>
      <x:c r="Q136" s="16" t="b">
        <x:f>AND(OR(O136=TRUE,O136="TRUE"),OR(P136=TRUE,P136="TRUE"))</x:f>
        <x:v>1</x:v>
      </x:c>
    </x:row>
    <x:row r="137">
      <x:c r="A137" s="16" t="str">
        <x:v>Wisconsin</x:v>
      </x:c>
      <x:c r="B137" s="16" t="str">
        <x:v>Milwaukee</x:v>
      </x:c>
      <x:c r="C137" s="16" t="n">
        <x:v>-87.897</x:v>
      </x:c>
      <x:c r="D137" s="16" t="n">
        <x:v>43.039</x:v>
      </x:c>
      <x:c r="E137" s="16" t="str">
        <x:v>Milwaukee Art Museum</x:v>
      </x:c>
      <x:c r="F137" s="16" t="str">
        <x:v>Art lovers, architecture fans</x:v>
      </x:c>
      <x:c r="G137" s="16" t="str">
        <x:v>A striking lakefront building houses broad art collections.</x:v>
      </x:c>
      <x:c r="H137" s="16" t="str">
        <x:v>Museum</x:v>
      </x:c>
      <x:c r="I137" s="16" t="str">
        <x:v>https://www.google.com/search?q=Milwaukee%20Art%20Museum%20Milwaukee%20Wisconsin%20official%20website</x:v>
      </x:c>
      <x:c r="J137" s="16" t="str">
        <x:v>https://www.google.com/search?q=site%3Atravelwisconsin.com%20Milwaukee%20Art%20Museum</x:v>
      </x:c>
      <x:c r="K137" s="16" t="str">
        <x:v>https://www.google.com/search?q=Milwaukee%20Art%20Museum%20Milwaukee%20Wisconsin%20visitor%20information</x:v>
      </x:c>
      <x:c r="L137" s="16" t="str">
        <x:v>https://www.google.com/search?q=Milwaukee%20Art%20Museum%20Milwaukee%20Wisconsin%20photos</x:v>
      </x:c>
      <x:c r="M137" s="16" t="str">
        <x:v>https://www.google.com/search?q=Milwaukee%20Art%20Museum%20Milwaukee%20Wisconsin%20wikipedia%20OR%20wikivoyage</x:v>
      </x:c>
      <x:c r="N137" s="16" t="str">
        <x:v>https://www.google.com/maps/search/?api=1&amp;query=Milwaukee%20Art%20Museum%2C%20Milwaukee%2C%20Wisconsin</x:v>
      </x:c>
      <x:c r="O137" s="17" t="b">
        <x:v>1</x:v>
      </x:c>
      <x:c r="P137" s="16" t="b">
        <x:f>IFERROR(VLOOKUP(A137,States!$A$2:$B$18,2,FALSE),FALSE)</x:f>
        <x:v>1</x:v>
      </x:c>
      <x:c r="Q137" s="16" t="b">
        <x:f>AND(OR(O137=TRUE,O137="TRUE"),OR(P137=TRUE,P137="TRUE"))</x:f>
        <x:v>1</x:v>
      </x:c>
    </x:row>
    <x:row r="138">
      <x:c r="A138" s="16" t="str">
        <x:v>Wisconsin</x:v>
      </x:c>
      <x:c r="B138" s="16" t="str">
        <x:v>Oshkosh</x:v>
      </x:c>
      <x:c r="C138" s="16" t="n">
        <x:v>-88.578</x:v>
      </x:c>
      <x:c r="D138" s="16" t="n">
        <x:v>43.984</x:v>
      </x:c>
      <x:c r="E138" s="16" t="str">
        <x:v>EAA Aviation Museum</x:v>
      </x:c>
      <x:c r="F138" s="16" t="str">
        <x:v>Aviation fans, families</x:v>
      </x:c>
      <x:c r="G138" s="16" t="str">
        <x:v>Aircraft collections and airshow culture tell grassroots aviation stories.</x:v>
      </x:c>
      <x:c r="H138" s="16" t="str">
        <x:v>Museum</x:v>
      </x:c>
      <x:c r="I138" s="16" t="str">
        <x:v>https://www.google.com/search?q=EAA%20Aviation%20Museum%20Oshkosh%20Wisconsin%20official%20website</x:v>
      </x:c>
      <x:c r="J138" s="16" t="str">
        <x:v>https://www.google.com/search?q=site%3Atravelwisconsin.com%20EAA%20Aviation%20Museum</x:v>
      </x:c>
      <x:c r="K138" s="16" t="str">
        <x:v>https://www.google.com/search?q=EAA%20Aviation%20Museum%20Oshkosh%20Wisconsin%20visitor%20information</x:v>
      </x:c>
      <x:c r="L138" s="16" t="str">
        <x:v>https://www.google.com/search?q=EAA%20Aviation%20Museum%20Oshkosh%20Wisconsin%20photos</x:v>
      </x:c>
      <x:c r="M138" s="16" t="str">
        <x:v>https://www.google.com/search?q=EAA%20Aviation%20Museum%20Oshkosh%20Wisconsin%20wikipedia%20OR%20wikivoyage</x:v>
      </x:c>
      <x:c r="N138" s="16" t="str">
        <x:v>https://www.google.com/maps/search/?api=1&amp;query=EAA%20Aviation%20Museum%2C%20Oshkosh%2C%20Wisconsin</x:v>
      </x:c>
      <x:c r="O138" s="17" t="b">
        <x:v>1</x:v>
      </x:c>
      <x:c r="P138" s="16" t="b">
        <x:f>IFERROR(VLOOKUP(A138,States!$A$2:$B$18,2,FALSE),FALSE)</x:f>
        <x:v>1</x:v>
      </x:c>
      <x:c r="Q138" s="16" t="b">
        <x:f>AND(OR(O138=TRUE,O138="TRUE"),OR(P138=TRUE,P138="TRUE"))</x:f>
        <x:v>1</x:v>
      </x:c>
    </x:row>
    <x:row r="139">
      <x:c r="A139" s="16" t="str">
        <x:v>Wisconsin</x:v>
      </x:c>
      <x:c r="B139" s="16" t="str">
        <x:v>Baraboo</x:v>
      </x:c>
      <x:c r="C139" s="16" t="n">
        <x:v>-89.728</x:v>
      </x:c>
      <x:c r="D139" s="16" t="n">
        <x:v>43.418</x:v>
      </x:c>
      <x:c r="E139" s="16" t="str">
        <x:v>Devil's Lake State Park</x:v>
      </x:c>
      <x:c r="F139" s="16" t="str">
        <x:v>Hikers, beachgoers, climbers</x:v>
      </x:c>
      <x:c r="G139" s="16" t="str">
        <x:v>Quartzite bluffs, lake beaches, and trails make Wisconsin's busiest park.</x:v>
      </x:c>
      <x:c r="H139" s="16" t="str">
        <x:v>Nature</x:v>
      </x:c>
      <x:c r="I139" s="16" t="str">
        <x:v>https://www.google.com/search?q=Devil's%20Lake%20State%20Park%20Baraboo%20Wisconsin%20official%20website</x:v>
      </x:c>
      <x:c r="J139" s="16" t="str">
        <x:v>https://www.google.com/search?q=site%3Atravelwisconsin.com%20Devil's%20Lake%20State%20Park</x:v>
      </x:c>
      <x:c r="K139" s="16" t="str">
        <x:v>https://www.google.com/search?q=Devil's%20Lake%20State%20Park%20Baraboo%20Wisconsin%20visitor%20information</x:v>
      </x:c>
      <x:c r="L139" s="16" t="str">
        <x:v>https://www.google.com/search?q=Devil's%20Lake%20State%20Park%20Baraboo%20Wisconsin%20photos</x:v>
      </x:c>
      <x:c r="M139" s="16" t="str">
        <x:v>https://www.google.com/search?q=Devil's%20Lake%20State%20Park%20Baraboo%20Wisconsin%20wikipedia%20OR%20wikivoyage</x:v>
      </x:c>
      <x:c r="N139" s="16" t="str">
        <x:v>https://www.google.com/maps/search/?api=1&amp;query=Devil's%20Lake%20State%20Park%2C%20Baraboo%2C%20Wisconsin</x:v>
      </x:c>
      <x:c r="O139" s="17" t="b">
        <x:v>1</x:v>
      </x:c>
      <x:c r="P139" s="16" t="b">
        <x:f>IFERROR(VLOOKUP(A139,States!$A$2:$B$18,2,FALSE),FALSE)</x:f>
        <x:v>1</x:v>
      </x:c>
      <x:c r="Q139" s="16" t="b">
        <x:f>AND(OR(O139=TRUE,O139="TRUE"),OR(P139=TRUE,P139="TRUE"))</x:f>
        <x:v>1</x:v>
      </x:c>
    </x:row>
    <x:row r="140">
      <x:c r="A140" s="16" t="str">
        <x:v>Wisconsin</x:v>
      </x:c>
      <x:c r="B140" s="16" t="str">
        <x:v>Madison</x:v>
      </x:c>
      <x:c r="C140" s="16" t="n">
        <x:v>-89.335</x:v>
      </x:c>
      <x:c r="D140" s="16" t="n">
        <x:v>43.092</x:v>
      </x:c>
      <x:c r="E140" s="16" t="str">
        <x:v>Olbrich Botanical Gardens</x:v>
      </x:c>
      <x:c r="F140" s="16" t="str">
        <x:v>Garden lovers, families</x:v>
      </x:c>
      <x:c r="G140" s="16" t="str">
        <x:v>Outdoor gardens and a tropical conservatory sit beside Lake Monona.</x:v>
      </x:c>
      <x:c r="H140" s="16" t="str">
        <x:v>Garden</x:v>
      </x:c>
      <x:c r="I140" s="16" t="str">
        <x:v>https://www.google.com/search?q=Olbrich%20Botanical%20Gardens%20Madison%20Wisconsin%20official%20website</x:v>
      </x:c>
      <x:c r="J140" s="16" t="str">
        <x:v>https://www.google.com/search?q=site%3Atravelwisconsin.com%20Olbrich%20Botanical%20Gardens</x:v>
      </x:c>
      <x:c r="K140" s="16" t="str">
        <x:v>https://www.google.com/search?q=Olbrich%20Botanical%20Gardens%20Madison%20Wisconsin%20visitor%20information</x:v>
      </x:c>
      <x:c r="L140" s="16" t="str">
        <x:v>https://www.google.com/search?q=Olbrich%20Botanical%20Gardens%20Madison%20Wisconsin%20photos</x:v>
      </x:c>
      <x:c r="M140" s="16" t="str">
        <x:v>https://www.google.com/search?q=Olbrich%20Botanical%20Gardens%20Madison%20Wisconsin%20wikipedia%20OR%20wikivoyage</x:v>
      </x:c>
      <x:c r="N140" s="16" t="str">
        <x:v>https://www.google.com/maps/search/?api=1&amp;query=Olbrich%20Botanical%20Gardens%2C%20Madison%2C%20Wisconsin</x:v>
      </x:c>
      <x:c r="O140" s="17" t="b">
        <x:v>1</x:v>
      </x:c>
      <x:c r="P140" s="16" t="b">
        <x:f>IFERROR(VLOOKUP(A140,States!$A$2:$B$18,2,FALSE),FALSE)</x:f>
        <x:v>1</x:v>
      </x:c>
      <x:c r="Q140" s="16" t="b">
        <x:f>AND(OR(O140=TRUE,O140="TRUE"),OR(P140=TRUE,P140="TRUE"))</x:f>
        <x:v>1</x:v>
      </x:c>
    </x:row>
    <x:row r="141">
      <x:c r="A141" s="16" t="str">
        <x:v>Wisconsin</x:v>
      </x:c>
      <x:c r="B141" s="16" t="str">
        <x:v>Baraboo</x:v>
      </x:c>
      <x:c r="C141" s="16" t="n">
        <x:v>-89.744</x:v>
      </x:c>
      <x:c r="D141" s="16" t="n">
        <x:v>43.468</x:v>
      </x:c>
      <x:c r="E141" s="16" t="str">
        <x:v>Circus World</x:v>
      </x:c>
      <x:c r="F141" s="16" t="str">
        <x:v>Families, history fans</x:v>
      </x:c>
      <x:c r="G141" s="16" t="str">
        <x:v>Circus wagons, performances, and Ringling history fill a playful museum.</x:v>
      </x:c>
      <x:c r="H141" s="16" t="str">
        <x:v>Museum</x:v>
      </x:c>
      <x:c r="I141" s="16" t="str">
        <x:v>https://www.google.com/search?q=Circus%20World%20Baraboo%20Wisconsin%20official%20website</x:v>
      </x:c>
      <x:c r="J141" s="16" t="str">
        <x:v>https://www.google.com/search?q=site%3Atravelwisconsin.com%20Circus%20World</x:v>
      </x:c>
      <x:c r="K141" s="16" t="str">
        <x:v>https://www.google.com/search?q=Circus%20World%20Baraboo%20Wisconsin%20visitor%20information</x:v>
      </x:c>
      <x:c r="L141" s="16" t="str">
        <x:v>https://www.google.com/search?q=Circus%20World%20Baraboo%20Wisconsin%20photos</x:v>
      </x:c>
      <x:c r="M141" s="16" t="str">
        <x:v>https://www.google.com/search?q=Circus%20World%20Baraboo%20Wisconsin%20wikipedia%20OR%20wikivoyage</x:v>
      </x:c>
      <x:c r="N141" s="16" t="str">
        <x:v>https://www.google.com/maps/search/?api=1&amp;query=Circus%20World%2C%20Baraboo%2C%20Wisconsin</x:v>
      </x:c>
      <x:c r="O141" s="17" t="b">
        <x:v>1</x:v>
      </x:c>
      <x:c r="P141" s="16" t="b">
        <x:f>IFERROR(VLOOKUP(A141,States!$A$2:$B$18,2,FALSE),FALSE)</x:f>
        <x:v>1</x:v>
      </x:c>
      <x:c r="Q141" s="16" t="b">
        <x:f>AND(OR(O141=TRUE,O141="TRUE"),OR(P141=TRUE,P141="TRUE"))</x:f>
        <x:v>1</x:v>
      </x:c>
    </x:row>
    <x:row r="142">
      <x:c r="A142" s="16" t="str">
        <x:v>Minnesota</x:v>
      </x:c>
      <x:c r="B142" s="16" t="str">
        <x:v>Bloomington</x:v>
      </x:c>
      <x:c r="C142" s="16" t="n">
        <x:v>-93.242</x:v>
      </x:c>
      <x:c r="D142" s="16" t="n">
        <x:v>44.854</x:v>
      </x:c>
      <x:c r="E142" s="16" t="str">
        <x:v>Mall of America</x:v>
      </x:c>
      <x:c r="F142" s="16" t="str">
        <x:v>Families, shoppers, rainy-day planners</x:v>
      </x:c>
      <x:c r="G142" s="16" t="str">
        <x:v>Shopping, dining, attractions, and an indoor theme park fill a huge complex.</x:v>
      </x:c>
      <x:c r="H142" s="16" t="str">
        <x:v>Shopping</x:v>
      </x:c>
      <x:c r="I142" s="16" t="str">
        <x:v>https://www.google.com/search?q=Mall%20of%20America%20Bloomington%20Minnesota%20official%20website</x:v>
      </x:c>
      <x:c r="J142" s="16" t="str">
        <x:v>https://www.google.com/search?q=site%3Aexploreminnesota.com%20Mall%20of%20America</x:v>
      </x:c>
      <x:c r="K142" s="16" t="str">
        <x:v>https://www.google.com/search?q=Mall%20of%20America%20Bloomington%20Minnesota%20visitor%20information</x:v>
      </x:c>
      <x:c r="L142" s="16" t="str">
        <x:v>https://www.google.com/search?q=Mall%20of%20America%20Bloomington%20Minnesota%20photos</x:v>
      </x:c>
      <x:c r="M142" s="16" t="str">
        <x:v>https://www.google.com/search?q=Mall%20of%20America%20Bloomington%20Minnesota%20wikipedia%20OR%20wikivoyage</x:v>
      </x:c>
      <x:c r="N142" s="16" t="str">
        <x:v>https://www.google.com/maps/search/?api=1&amp;query=Mall%20of%20America%2C%20Bloomington%2C%20Minnesota</x:v>
      </x:c>
      <x:c r="O142" s="17" t="b">
        <x:v>1</x:v>
      </x:c>
      <x:c r="P142" s="16" t="b">
        <x:f>IFERROR(VLOOKUP(A142,States!$A$2:$B$18,2,FALSE),FALSE)</x:f>
        <x:v>1</x:v>
      </x:c>
      <x:c r="Q142" s="16" t="b">
        <x:f>AND(OR(O142=TRUE,O142="TRUE"),OR(P142=TRUE,P142="TRUE"))</x:f>
        <x:v>1</x:v>
      </x:c>
    </x:row>
    <x:row r="143">
      <x:c r="A143" s="16" t="str">
        <x:v>Minnesota</x:v>
      </x:c>
      <x:c r="B143" s="16" t="str">
        <x:v>Ely</x:v>
      </x:c>
      <x:c r="C143" s="16" t="n">
        <x:v>-91.867</x:v>
      </x:c>
      <x:c r="D143" s="16" t="n">
        <x:v>47.905</x:v>
      </x:c>
      <x:c r="E143" s="16" t="str">
        <x:v>Boundary Waters Canoe Area Wilderness</x:v>
      </x:c>
      <x:c r="F143" s="16" t="str">
        <x:v>Paddlers, campers, solitude seekers</x:v>
      </x:c>
      <x:c r="G143" s="16" t="str">
        <x:v>Lake-to-lake canoe routes offer classic North Woods wilderness.</x:v>
      </x:c>
      <x:c r="H143" s="16" t="str">
        <x:v>Nature</x:v>
      </x:c>
      <x:c r="I143" s="16" t="str">
        <x:v>https://www.google.com/search?q=Boundary%20Waters%20Canoe%20Area%20Wilderness%20Ely%20Minnesota%20official%20website</x:v>
      </x:c>
      <x:c r="J143" s="16" t="str">
        <x:v>https://www.google.com/search?q=site%3Aexploreminnesota.com%20Boundary%20Waters%20Canoe%20Area%20Wilderness</x:v>
      </x:c>
      <x:c r="K143" s="16" t="str">
        <x:v>https://www.google.com/search?q=Boundary%20Waters%20Canoe%20Area%20Wilderness%20Ely%20Minnesota%20visitor%20information</x:v>
      </x:c>
      <x:c r="L143" s="16" t="str">
        <x:v>https://www.google.com/search?q=Boundary%20Waters%20Canoe%20Area%20Wilderness%20Ely%20Minnesota%20photos</x:v>
      </x:c>
      <x:c r="M143" s="16" t="str">
        <x:v>https://www.google.com/search?q=Boundary%20Waters%20Canoe%20Area%20Wilderness%20Ely%20Minnesota%20wikipedia%20OR%20wikivoyage</x:v>
      </x:c>
      <x:c r="N143" s="16" t="str">
        <x:v>https://www.google.com/maps/search/?api=1&amp;query=Boundary%20Waters%20Canoe%20Area%20Wilderness%2C%20Ely%2C%20Minnesota</x:v>
      </x:c>
      <x:c r="O143" s="17" t="b">
        <x:v>1</x:v>
      </x:c>
      <x:c r="P143" s="16" t="b">
        <x:f>IFERROR(VLOOKUP(A143,States!$A$2:$B$18,2,FALSE),FALSE)</x:f>
        <x:v>1</x:v>
      </x:c>
      <x:c r="Q143" s="16" t="b">
        <x:f>AND(OR(O143=TRUE,O143="TRUE"),OR(P143=TRUE,P143="TRUE"))</x:f>
        <x:v>1</x:v>
      </x:c>
    </x:row>
    <x:row r="144">
      <x:c r="A144" s="16" t="str">
        <x:v>Minnesota</x:v>
      </x:c>
      <x:c r="B144" s="16" t="str">
        <x:v>International Falls</x:v>
      </x:c>
      <x:c r="C144" s="16" t="n">
        <x:v>-92.837</x:v>
      </x:c>
      <x:c r="D144" s="16" t="n">
        <x:v>48.483</x:v>
      </x:c>
      <x:c r="E144" s="16" t="str">
        <x:v>Voyageurs National Park</x:v>
      </x:c>
      <x:c r="F144" s="16" t="str">
        <x:v>Boaters, anglers, families</x:v>
      </x:c>
      <x:c r="G144" s="16" t="str">
        <x:v>A water-based national park rewards boat travel and northern skies.</x:v>
      </x:c>
      <x:c r="H144" s="16" t="str">
        <x:v>National Park</x:v>
      </x:c>
      <x:c r="I144" s="16" t="str">
        <x:v>https://www.google.com/search?q=Voyageurs%20National%20Park%20International%20Falls%20Minnesota%20official%20website</x:v>
      </x:c>
      <x:c r="J144" s="16" t="str">
        <x:v>https://www.google.com/search?q=site%3Aexploreminnesota.com%20Voyageurs%20National%20Park</x:v>
      </x:c>
      <x:c r="K144" s="16" t="str">
        <x:v>https://www.google.com/search?q=Voyageurs%20National%20Park%20International%20Falls%20Minnesota%20visitor%20information</x:v>
      </x:c>
      <x:c r="L144" s="16" t="str">
        <x:v>https://www.google.com/search?q=Voyageurs%20National%20Park%20International%20Falls%20Minnesota%20photos</x:v>
      </x:c>
      <x:c r="M144" s="16" t="str">
        <x:v>https://www.google.com/search?q=site%3Anps.gov%20Voyageurs%20National%20Park</x:v>
      </x:c>
      <x:c r="N144" s="16" t="str">
        <x:v>https://www.google.com/maps/search/?api=1&amp;query=Voyageurs%20National%20Park%2C%20International%20Falls%2C%20Minnesota</x:v>
      </x:c>
      <x:c r="O144" s="17" t="b">
        <x:v>1</x:v>
      </x:c>
      <x:c r="P144" s="16" t="b">
        <x:f>IFERROR(VLOOKUP(A144,States!$A$2:$B$18,2,FALSE),FALSE)</x:f>
        <x:v>1</x:v>
      </x:c>
      <x:c r="Q144" s="16" t="b">
        <x:f>AND(OR(O144=TRUE,O144="TRUE"),OR(P144=TRUE,P144="TRUE"))</x:f>
        <x:v>1</x:v>
      </x:c>
    </x:row>
    <x:row r="145">
      <x:c r="A145" s="16" t="str">
        <x:v>Minnesota</x:v>
      </x:c>
      <x:c r="B145" s="16" t="str">
        <x:v>Park Rapids</x:v>
      </x:c>
      <x:c r="C145" s="16" t="n">
        <x:v>-95.208</x:v>
      </x:c>
      <x:c r="D145" s="16" t="n">
        <x:v>47.239</x:v>
      </x:c>
      <x:c r="E145" s="16" t="str">
        <x:v>Itasca State Park</x:v>
      </x:c>
      <x:c r="F145" s="16" t="str">
        <x:v>Families, cyclists, nature lovers</x:v>
      </x:c>
      <x:c r="G145" s="16" t="str">
        <x:v>Visitors can walk across the Mississippi River headwaters.</x:v>
      </x:c>
      <x:c r="H145" s="16" t="str">
        <x:v>Nature</x:v>
      </x:c>
      <x:c r="I145" s="16" t="str">
        <x:v>https://www.google.com/search?q=Itasca%20State%20Park%20Park%20Rapids%20Minnesota%20official%20website</x:v>
      </x:c>
      <x:c r="J145" s="16" t="str">
        <x:v>https://www.google.com/search?q=site%3Aexploreminnesota.com%20Itasca%20State%20Park</x:v>
      </x:c>
      <x:c r="K145" s="16" t="str">
        <x:v>https://www.google.com/search?q=Itasca%20State%20Park%20Park%20Rapids%20Minnesota%20visitor%20information</x:v>
      </x:c>
      <x:c r="L145" s="16" t="str">
        <x:v>https://www.google.com/search?q=Itasca%20State%20Park%20Park%20Rapids%20Minnesota%20photos</x:v>
      </x:c>
      <x:c r="M145" s="16" t="str">
        <x:v>https://www.google.com/search?q=Itasca%20State%20Park%20Park%20Rapids%20Minnesota%20wikipedia%20OR%20wikivoyage</x:v>
      </x:c>
      <x:c r="N145" s="16" t="str">
        <x:v>https://www.google.com/maps/search/?api=1&amp;query=Itasca%20State%20Park%2C%20Park%20Rapids%2C%20Minnesota</x:v>
      </x:c>
      <x:c r="O145" s="17" t="b">
        <x:v>1</x:v>
      </x:c>
      <x:c r="P145" s="16" t="b">
        <x:f>IFERROR(VLOOKUP(A145,States!$A$2:$B$18,2,FALSE),FALSE)</x:f>
        <x:v>1</x:v>
      </x:c>
      <x:c r="Q145" s="16" t="b">
        <x:f>AND(OR(O145=TRUE,O145="TRUE"),OR(P145=TRUE,P145="TRUE"))</x:f>
        <x:v>1</x:v>
      </x:c>
    </x:row>
    <x:row r="146">
      <x:c r="A146" s="16" t="str">
        <x:v>Minnesota</x:v>
      </x:c>
      <x:c r="B146" s="16" t="str">
        <x:v>Two Harbors</x:v>
      </x:c>
      <x:c r="C146" s="16" t="n">
        <x:v>-91.367</x:v>
      </x:c>
      <x:c r="D146" s="16" t="n">
        <x:v>47.2</x:v>
      </x:c>
      <x:c r="E146" s="16" t="str">
        <x:v>Split Rock Lighthouse</x:v>
      </x:c>
      <x:c r="F146" s="16" t="str">
        <x:v>Photographers, history travelers</x:v>
      </x:c>
      <x:c r="G146" s="16" t="str">
        <x:v>A cliffside lighthouse frames one of Lake Superior's iconic views.</x:v>
      </x:c>
      <x:c r="H146" s="16" t="str">
        <x:v>Historic Site</x:v>
      </x:c>
      <x:c r="I146" s="16" t="str">
        <x:v>https://www.google.com/search?q=Split%20Rock%20Lighthouse%20Two%20Harbors%20Minnesota%20official%20website</x:v>
      </x:c>
      <x:c r="J146" s="16" t="str">
        <x:v>https://www.google.com/search?q=site%3Aexploreminnesota.com%20Split%20Rock%20Lighthouse</x:v>
      </x:c>
      <x:c r="K146" s="16" t="str">
        <x:v>https://www.google.com/search?q=Split%20Rock%20Lighthouse%20Two%20Harbors%20Minnesota%20visitor%20information</x:v>
      </x:c>
      <x:c r="L146" s="16" t="str">
        <x:v>https://www.google.com/search?q=Split%20Rock%20Lighthouse%20Two%20Harbors%20Minnesota%20photos</x:v>
      </x:c>
      <x:c r="M146" s="16" t="str">
        <x:v>https://www.google.com/search?q=Split%20Rock%20Lighthouse%20Two%20Harbors%20Minnesota%20wikipedia%20OR%20wikivoyage</x:v>
      </x:c>
      <x:c r="N146" s="16" t="str">
        <x:v>https://www.google.com/maps/search/?api=1&amp;query=Split%20Rock%20Lighthouse%2C%20Two%20Harbors%2C%20Minnesota</x:v>
      </x:c>
      <x:c r="O146" s="17" t="b">
        <x:v>1</x:v>
      </x:c>
      <x:c r="P146" s="16" t="b">
        <x:f>IFERROR(VLOOKUP(A146,States!$A$2:$B$18,2,FALSE),FALSE)</x:f>
        <x:v>1</x:v>
      </x:c>
      <x:c r="Q146" s="16" t="b">
        <x:f>AND(OR(O146=TRUE,O146="TRUE"),OR(P146=TRUE,P146="TRUE"))</x:f>
        <x:v>1</x:v>
      </x:c>
    </x:row>
    <x:row r="147">
      <x:c r="A147" s="16" t="str">
        <x:v>Minnesota</x:v>
      </x:c>
      <x:c r="B147" s="16" t="str">
        <x:v>Two Harbors</x:v>
      </x:c>
      <x:c r="C147" s="16" t="n">
        <x:v>-91.464</x:v>
      </x:c>
      <x:c r="D147" s="16" t="n">
        <x:v>47.144</x:v>
      </x:c>
      <x:c r="E147" s="16" t="str">
        <x:v>Gooseberry Falls State Park</x:v>
      </x:c>
      <x:c r="F147" s="16" t="str">
        <x:v>Families, hikers, waterfall fans</x:v>
      </x:c>
      <x:c r="G147" s="16" t="str">
        <x:v>Easy trails and cascades make a classic North Shore stop.</x:v>
      </x:c>
      <x:c r="H147" s="16" t="str">
        <x:v>Nature</x:v>
      </x:c>
      <x:c r="I147" s="16" t="str">
        <x:v>https://www.google.com/search?q=Gooseberry%20Falls%20State%20Park%20Two%20Harbors%20Minnesota%20official%20website</x:v>
      </x:c>
      <x:c r="J147" s="16" t="str">
        <x:v>https://www.google.com/search?q=site%3Aexploreminnesota.com%20Gooseberry%20Falls%20State%20Park</x:v>
      </x:c>
      <x:c r="K147" s="16" t="str">
        <x:v>https://www.google.com/search?q=Gooseberry%20Falls%20State%20Park%20Two%20Harbors%20Minnesota%20visitor%20information</x:v>
      </x:c>
      <x:c r="L147" s="16" t="str">
        <x:v>https://www.google.com/search?q=Gooseberry%20Falls%20State%20Park%20Two%20Harbors%20Minnesota%20photos</x:v>
      </x:c>
      <x:c r="M147" s="16" t="str">
        <x:v>https://www.google.com/search?q=Gooseberry%20Falls%20State%20Park%20Two%20Harbors%20Minnesota%20wikipedia%20OR%20wikivoyage</x:v>
      </x:c>
      <x:c r="N147" s="16" t="str">
        <x:v>https://www.google.com/maps/search/?api=1&amp;query=Gooseberry%20Falls%20State%20Park%2C%20Two%20Harbors%2C%20Minnesota</x:v>
      </x:c>
      <x:c r="O147" s="17" t="b">
        <x:v>1</x:v>
      </x:c>
      <x:c r="P147" s="16" t="b">
        <x:f>IFERROR(VLOOKUP(A147,States!$A$2:$B$18,2,FALSE),FALSE)</x:f>
        <x:v>1</x:v>
      </x:c>
      <x:c r="Q147" s="16" t="b">
        <x:f>AND(OR(O147=TRUE,O147="TRUE"),OR(P147=TRUE,P147="TRUE"))</x:f>
        <x:v>1</x:v>
      </x:c>
    </x:row>
    <x:row r="148">
      <x:c r="A148" s="16" t="str">
        <x:v>Minnesota</x:v>
      </x:c>
      <x:c r="B148" s="16" t="str">
        <x:v>Minneapolis</x:v>
      </x:c>
      <x:c r="C148" s="16" t="n">
        <x:v>-93.274</x:v>
      </x:c>
      <x:c r="D148" s="16" t="n">
        <x:v>44.958</x:v>
      </x:c>
      <x:c r="E148" s="16" t="str">
        <x:v>Minneapolis Institute of Art</x:v>
      </x:c>
      <x:c r="F148" s="16" t="str">
        <x:v>Art lovers, families</x:v>
      </x:c>
      <x:c r="G148" s="16" t="str">
        <x:v>Free access and global collections make it a high-value city stop.</x:v>
      </x:c>
      <x:c r="H148" s="16" t="str">
        <x:v>Museum</x:v>
      </x:c>
      <x:c r="I148" s="16" t="str">
        <x:v>https://www.google.com/search?q=Minneapolis%20Institute%20of%20Art%20Minneapolis%20Minnesota%20official%20website</x:v>
      </x:c>
      <x:c r="J148" s="16" t="str">
        <x:v>https://www.google.com/search?q=site%3Aexploreminnesota.com%20Minneapolis%20Institute%20of%20Art</x:v>
      </x:c>
      <x:c r="K148" s="16" t="str">
        <x:v>https://www.google.com/search?q=Minneapolis%20Institute%20of%20Art%20Minneapolis%20Minnesota%20visitor%20information</x:v>
      </x:c>
      <x:c r="L148" s="16" t="str">
        <x:v>https://www.google.com/search?q=Minneapolis%20Institute%20of%20Art%20Minneapolis%20Minnesota%20photos</x:v>
      </x:c>
      <x:c r="M148" s="16" t="str">
        <x:v>https://www.google.com/search?q=Minneapolis%20Institute%20of%20Art%20Minneapolis%20Minnesota%20wikipedia%20OR%20wikivoyage</x:v>
      </x:c>
      <x:c r="N148" s="16" t="str">
        <x:v>https://www.google.com/maps/search/?api=1&amp;query=Minneapolis%20Institute%20of%20Art%2C%20Minneapolis%2C%20Minnesota</x:v>
      </x:c>
      <x:c r="O148" s="17" t="b">
        <x:v>1</x:v>
      </x:c>
      <x:c r="P148" s="16" t="b">
        <x:f>IFERROR(VLOOKUP(A148,States!$A$2:$B$18,2,FALSE),FALSE)</x:f>
        <x:v>1</x:v>
      </x:c>
      <x:c r="Q148" s="16" t="b">
        <x:f>AND(OR(O148=TRUE,O148="TRUE"),OR(P148=TRUE,P148="TRUE"))</x:f>
        <x:v>1</x:v>
      </x:c>
    </x:row>
    <x:row r="149">
      <x:c r="A149" s="16" t="str">
        <x:v>Minnesota</x:v>
      </x:c>
      <x:c r="B149" s="16" t="str">
        <x:v>Minneapolis</x:v>
      </x:c>
      <x:c r="C149" s="16" t="n">
        <x:v>-93.289</x:v>
      </x:c>
      <x:c r="D149" s="16" t="n">
        <x:v>44.969</x:v>
      </x:c>
      <x:c r="E149" s="16" t="str">
        <x:v>Walker Art Center and Sculpture Garden</x:v>
      </x:c>
      <x:c r="F149" s="16" t="str">
        <x:v>Art lovers, design travelers</x:v>
      </x:c>
      <x:c r="G149" s="16" t="str">
        <x:v>Contemporary art and the famous sculpture garden sit near downtown.</x:v>
      </x:c>
      <x:c r="H149" s="16" t="str">
        <x:v>Arts/Culture</x:v>
      </x:c>
      <x:c r="I149" s="16" t="str">
        <x:v>https://www.google.com/search?q=Walker%20Art%20Center%20and%20Sculpture%20Garden%20Minneapolis%20Minnesota%20official%20website</x:v>
      </x:c>
      <x:c r="J149" s="16" t="str">
        <x:v>https://www.google.com/search?q=site%3Aexploreminnesota.com%20Walker%20Art%20Center%20and%20Sculpture%20Garden</x:v>
      </x:c>
      <x:c r="K149" s="16" t="str">
        <x:v>https://www.google.com/search?q=Walker%20Art%20Center%20and%20Sculpture%20Garden%20Minneapolis%20Minnesota%20visitor%20information</x:v>
      </x:c>
      <x:c r="L149" s="16" t="str">
        <x:v>https://www.google.com/search?q=Walker%20Art%20Center%20and%20Sculpture%20Garden%20Minneapolis%20Minnesota%20photos</x:v>
      </x:c>
      <x:c r="M149" s="16" t="str">
        <x:v>https://www.google.com/search?q=Walker%20Art%20Center%20and%20Sculpture%20Garden%20Minneapolis%20Minnesota%20wikipedia%20OR%20wikivoyage</x:v>
      </x:c>
      <x:c r="N149" s="16" t="str">
        <x:v>https://www.google.com/maps/search/?api=1&amp;query=Walker%20Art%20Center%20and%20Sculpture%20Garden%2C%20Minneapolis%2C%20Minnesota</x:v>
      </x:c>
      <x:c r="O149" s="17" t="b">
        <x:v>1</x:v>
      </x:c>
      <x:c r="P149" s="16" t="b">
        <x:f>IFERROR(VLOOKUP(A149,States!$A$2:$B$18,2,FALSE),FALSE)</x:f>
        <x:v>1</x:v>
      </x:c>
      <x:c r="Q149" s="16" t="b">
        <x:f>AND(OR(O149=TRUE,O149="TRUE"),OR(P149=TRUE,P149="TRUE"))</x:f>
        <x:v>1</x:v>
      </x:c>
    </x:row>
    <x:row r="150">
      <x:c r="A150" s="16" t="str">
        <x:v>Minnesota</x:v>
      </x:c>
      <x:c r="B150" s="16" t="str">
        <x:v>St. Paul</x:v>
      </x:c>
      <x:c r="C150" s="16" t="n">
        <x:v>-93.153</x:v>
      </x:c>
      <x:c r="D150" s="16" t="n">
        <x:v>44.982</x:v>
      </x:c>
      <x:c r="E150" s="16" t="str">
        <x:v>Como Park Zoo and Conservatory</x:v>
      </x:c>
      <x:c r="F150" s="16" t="str">
        <x:v>Families, garden lovers</x:v>
      </x:c>
      <x:c r="G150" s="16" t="str">
        <x:v>Free zoo, conservatory, and parkland make an easy urban outing.</x:v>
      </x:c>
      <x:c r="H150" s="16" t="str">
        <x:v>Zoo/Aquarium</x:v>
      </x:c>
      <x:c r="I150" s="16" t="str">
        <x:v>https://www.google.com/search?q=Como%20Park%20Zoo%20and%20Conservatory%20St.%20Paul%20Minnesota%20official%20website</x:v>
      </x:c>
      <x:c r="J150" s="16" t="str">
        <x:v>https://www.google.com/search?q=site%3Aexploreminnesota.com%20Como%20Park%20Zoo%20and%20Conservatory</x:v>
      </x:c>
      <x:c r="K150" s="16" t="str">
        <x:v>https://www.google.com/search?q=Como%20Park%20Zoo%20and%20Conservatory%20St.%20Paul%20Minnesota%20visitor%20information</x:v>
      </x:c>
      <x:c r="L150" s="16" t="str">
        <x:v>https://www.google.com/search?q=Como%20Park%20Zoo%20and%20Conservatory%20St.%20Paul%20Minnesota%20photos</x:v>
      </x:c>
      <x:c r="M150" s="16" t="str">
        <x:v>https://www.google.com/search?q=Como%20Park%20Zoo%20and%20Conservatory%20St.%20Paul%20Minnesota%20wikipedia%20OR%20wikivoyage</x:v>
      </x:c>
      <x:c r="N150" s="16" t="str">
        <x:v>https://www.google.com/maps/search/?api=1&amp;query=Como%20Park%20Zoo%20and%20Conservatory%2C%20St.%20Paul%2C%20Minnesota</x:v>
      </x:c>
      <x:c r="O150" s="17" t="b">
        <x:v>1</x:v>
      </x:c>
      <x:c r="P150" s="16" t="b">
        <x:f>IFERROR(VLOOKUP(A150,States!$A$2:$B$18,2,FALSE),FALSE)</x:f>
        <x:v>1</x:v>
      </x:c>
      <x:c r="Q150" s="16" t="b">
        <x:f>AND(OR(O150=TRUE,O150="TRUE"),OR(P150=TRUE,P150="TRUE"))</x:f>
        <x:v>1</x:v>
      </x:c>
    </x:row>
    <x:row r="151">
      <x:c r="A151" s="16" t="str">
        <x:v>Minnesota</x:v>
      </x:c>
      <x:c r="B151" s="16" t="str">
        <x:v>Apple Valley</x:v>
      </x:c>
      <x:c r="C151" s="16" t="n">
        <x:v>-93.198</x:v>
      </x:c>
      <x:c r="D151" s="16" t="n">
        <x:v>44.768</x:v>
      </x:c>
      <x:c r="E151" s="16" t="str">
        <x:v>Minnesota Zoo</x:v>
      </x:c>
      <x:c r="F151" s="16" t="str">
        <x:v>Families, animal lovers</x:v>
      </x:c>
      <x:c r="G151" s="16" t="str">
        <x:v>Large trails and habitats highlight northern and global wildlife.</x:v>
      </x:c>
      <x:c r="H151" s="16" t="str">
        <x:v>Zoo/Aquarium</x:v>
      </x:c>
      <x:c r="I151" s="16" t="str">
        <x:v>https://www.google.com/search?q=Minnesota%20Zoo%20Apple%20Valley%20Minnesota%20official%20website</x:v>
      </x:c>
      <x:c r="J151" s="16" t="str">
        <x:v>https://www.google.com/search?q=site%3Aexploreminnesota.com%20Minnesota%20Zoo</x:v>
      </x:c>
      <x:c r="K151" s="16" t="str">
        <x:v>https://www.google.com/search?q=Minnesota%20Zoo%20Apple%20Valley%20Minnesota%20visitor%20information</x:v>
      </x:c>
      <x:c r="L151" s="16" t="str">
        <x:v>https://www.google.com/search?q=Minnesota%20Zoo%20Apple%20Valley%20Minnesota%20photos</x:v>
      </x:c>
      <x:c r="M151" s="16" t="str">
        <x:v>https://www.google.com/search?q=Minnesota%20Zoo%20Apple%20Valley%20Minnesota%20wikipedia%20OR%20wikivoyage</x:v>
      </x:c>
      <x:c r="N151" s="16" t="str">
        <x:v>https://www.google.com/maps/search/?api=1&amp;query=Minnesota%20Zoo%2C%20Apple%20Valley%2C%20Minnesota</x:v>
      </x:c>
      <x:c r="O151" s="17" t="b">
        <x:v>1</x:v>
      </x:c>
      <x:c r="P151" s="16" t="b">
        <x:f>IFERROR(VLOOKUP(A151,States!$A$2:$B$18,2,FALSE),FALSE)</x:f>
        <x:v>1</x:v>
      </x:c>
      <x:c r="Q151" s="16" t="b">
        <x:f>AND(OR(O151=TRUE,O151="TRUE"),OR(P151=TRUE,P151="TRUE"))</x:f>
        <x:v>1</x:v>
      </x:c>
    </x:row>
    <x:row r="152">
      <x:c r="A152" s="16" t="str">
        <x:v>Minnesota</x:v>
      </x:c>
      <x:c r="B152" s="16" t="str">
        <x:v>Duluth</x:v>
      </x:c>
      <x:c r="C152" s="16" t="n">
        <x:v>-91.95</x:v>
      </x:c>
      <x:c r="D152" s="16" t="n">
        <x:v>46.79</x:v>
      </x:c>
      <x:c r="E152" s="16" t="str">
        <x:v>North Shore Scenic Drive</x:v>
      </x:c>
      <x:c r="F152" s="16" t="str">
        <x:v>Scenic drivers, photographers</x:v>
      </x:c>
      <x:c r="G152" s="16" t="str">
        <x:v>Lake Superior cliffs, towns, and waterfalls line a beautiful route.</x:v>
      </x:c>
      <x:c r="H152" s="16" t="str">
        <x:v>Scenic Drive</x:v>
      </x:c>
      <x:c r="I152" s="16" t="str">
        <x:v>https://www.google.com/search?q=North%20Shore%20Scenic%20Drive%20Duluth%20Minnesota%20official%20website</x:v>
      </x:c>
      <x:c r="J152" s="16" t="str">
        <x:v>https://www.google.com/search?q=site%3Aexploreminnesota.com%20North%20Shore%20Scenic%20Drive</x:v>
      </x:c>
      <x:c r="K152" s="16" t="str">
        <x:v>https://www.google.com/search?q=North%20Shore%20Scenic%20Drive%20Duluth%20Minnesota%20visitor%20information</x:v>
      </x:c>
      <x:c r="L152" s="16" t="str">
        <x:v>https://www.google.com/search?q=North%20Shore%20Scenic%20Drive%20Duluth%20Minnesota%20photos</x:v>
      </x:c>
      <x:c r="M152" s="16" t="str">
        <x:v>https://www.google.com/search?q=North%20Shore%20Scenic%20Drive%20Duluth%20Minnesota%20wikipedia%20OR%20wikivoyage</x:v>
      </x:c>
      <x:c r="N152" s="16" t="str">
        <x:v>https://www.google.com/maps/search/?api=1&amp;query=North%20Shore%20Scenic%20Drive%2C%20Duluth%2C%20Minnesota</x:v>
      </x:c>
      <x:c r="O152" s="17" t="b">
        <x:v>1</x:v>
      </x:c>
      <x:c r="P152" s="16" t="b">
        <x:f>IFERROR(VLOOKUP(A152,States!$A$2:$B$18,2,FALSE),FALSE)</x:f>
        <x:v>1</x:v>
      </x:c>
      <x:c r="Q152" s="16" t="b">
        <x:f>AND(OR(O152=TRUE,O152="TRUE"),OR(P152=TRUE,P152="TRUE"))</x:f>
        <x:v>1</x:v>
      </x:c>
    </x:row>
    <x:row r="153">
      <x:c r="A153" s="16" t="str">
        <x:v>Minnesota</x:v>
      </x:c>
      <x:c r="B153" s="16" t="str">
        <x:v>Duluth</x:v>
      </x:c>
      <x:c r="C153" s="16" t="n">
        <x:v>-92.092</x:v>
      </x:c>
      <x:c r="D153" s="16" t="n">
        <x:v>46.779</x:v>
      </x:c>
      <x:c r="E153" s="16" t="str">
        <x:v>Aerial Lift Bridge and Canal Park</x:v>
      </x:c>
      <x:c r="F153" s="16" t="str">
        <x:v>Families, photographers, ship watchers</x:v>
      </x:c>
      <x:c r="G153" s="16" t="str">
        <x:v>Ships pass under a landmark bridge beside Duluth's waterfront.</x:v>
      </x:c>
      <x:c r="H153" s="16" t="str">
        <x:v>Waterfront</x:v>
      </x:c>
      <x:c r="I153" s="16" t="str">
        <x:v>https://www.google.com/search?q=Aerial%20Lift%20Bridge%20and%20Canal%20Park%20Duluth%20Minnesota%20official%20website</x:v>
      </x:c>
      <x:c r="J153" s="16" t="str">
        <x:v>https://www.google.com/search?q=site%3Aexploreminnesota.com%20Aerial%20Lift%20Bridge%20and%20Canal%20Park</x:v>
      </x:c>
      <x:c r="K153" s="16" t="str">
        <x:v>https://www.google.com/search?q=Aerial%20Lift%20Bridge%20and%20Canal%20Park%20Duluth%20Minnesota%20visitor%20information</x:v>
      </x:c>
      <x:c r="L153" s="16" t="str">
        <x:v>https://www.google.com/search?q=Aerial%20Lift%20Bridge%20and%20Canal%20Park%20Duluth%20Minnesota%20photos</x:v>
      </x:c>
      <x:c r="M153" s="16" t="str">
        <x:v>https://www.google.com/search?q=Aerial%20Lift%20Bridge%20and%20Canal%20Park%20Duluth%20Minnesota%20wikipedia%20OR%20wikivoyage</x:v>
      </x:c>
      <x:c r="N153" s="16" t="str">
        <x:v>https://www.google.com/maps/search/?api=1&amp;query=Aerial%20Lift%20Bridge%20and%20Canal%20Park%2C%20Duluth%2C%20Minnesota</x:v>
      </x:c>
      <x:c r="O153" s="17" t="b">
        <x:v>1</x:v>
      </x:c>
      <x:c r="P153" s="16" t="b">
        <x:f>IFERROR(VLOOKUP(A153,States!$A$2:$B$18,2,FALSE),FALSE)</x:f>
        <x:v>1</x:v>
      </x:c>
      <x:c r="Q153" s="16" t="b">
        <x:f>AND(OR(O153=TRUE,O153="TRUE"),OR(P153=TRUE,P153="TRUE"))</x:f>
        <x:v>1</x:v>
      </x:c>
    </x:row>
    <x:row r="154">
      <x:c r="A154" s="16" t="str">
        <x:v>Minnesota</x:v>
      </x:c>
      <x:c r="B154" s="16" t="str">
        <x:v>Chanhassen</x:v>
      </x:c>
      <x:c r="C154" s="16" t="n">
        <x:v>-93.561</x:v>
      </x:c>
      <x:c r="D154" s="16" t="n">
        <x:v>44.862</x:v>
      </x:c>
      <x:c r="E154" s="16" t="str">
        <x:v>Paisley Park</x:v>
      </x:c>
      <x:c r="F154" s="16" t="str">
        <x:v>Music fans, pop culture travelers</x:v>
      </x:c>
      <x:c r="G154" s="16" t="str">
        <x:v>Prince's creative home and studio gives rare insight into his work.</x:v>
      </x:c>
      <x:c r="H154" s="16" t="str">
        <x:v>Museum</x:v>
      </x:c>
      <x:c r="I154" s="16" t="str">
        <x:v>https://www.google.com/search?q=Paisley%20Park%20Chanhassen%20Minnesota%20official%20website</x:v>
      </x:c>
      <x:c r="J154" s="16" t="str">
        <x:v>https://www.google.com/search?q=site%3Aexploreminnesota.com%20Paisley%20Park</x:v>
      </x:c>
      <x:c r="K154" s="16" t="str">
        <x:v>https://www.google.com/search?q=Paisley%20Park%20Chanhassen%20Minnesota%20visitor%20information</x:v>
      </x:c>
      <x:c r="L154" s="16" t="str">
        <x:v>https://www.google.com/search?q=Paisley%20Park%20Chanhassen%20Minnesota%20photos</x:v>
      </x:c>
      <x:c r="M154" s="16" t="str">
        <x:v>https://www.google.com/search?q=Paisley%20Park%20Chanhassen%20Minnesota%20wikipedia%20OR%20wikivoyage</x:v>
      </x:c>
      <x:c r="N154" s="16" t="str">
        <x:v>https://www.google.com/maps/search/?api=1&amp;query=Paisley%20Park%2C%20Chanhassen%2C%20Minnesota</x:v>
      </x:c>
      <x:c r="O154" s="17" t="b">
        <x:v>1</x:v>
      </x:c>
      <x:c r="P154" s="16" t="b">
        <x:f>IFERROR(VLOOKUP(A154,States!$A$2:$B$18,2,FALSE),FALSE)</x:f>
        <x:v>1</x:v>
      </x:c>
      <x:c r="Q154" s="16" t="b">
        <x:f>AND(OR(O154=TRUE,O154="TRUE"),OR(P154=TRUE,P154="TRUE"))</x:f>
        <x:v>1</x:v>
      </x:c>
    </x:row>
    <x:row r="155">
      <x:c r="A155" s="16" t="str">
        <x:v>Minnesota</x:v>
      </x:c>
      <x:c r="B155" s="16" t="str">
        <x:v>St. Paul</x:v>
      </x:c>
      <x:c r="C155" s="16" t="n">
        <x:v>-93.099</x:v>
      </x:c>
      <x:c r="D155" s="16" t="n">
        <x:v>44.943</x:v>
      </x:c>
      <x:c r="E155" s="16" t="str">
        <x:v>Science Museum of Minnesota</x:v>
      </x:c>
      <x:c r="F155" s="16" t="str">
        <x:v>Families, science fans</x:v>
      </x:c>
      <x:c r="G155" s="16" t="str">
        <x:v>Dinosaurs, experiments, and riverfront views make science hands-on.</x:v>
      </x:c>
      <x:c r="H155" s="16" t="str">
        <x:v>Science</x:v>
      </x:c>
      <x:c r="I155" s="16" t="str">
        <x:v>https://www.google.com/search?q=Science%20Museum%20of%20Minnesota%20St.%20Paul%20Minnesota%20official%20website</x:v>
      </x:c>
      <x:c r="J155" s="16" t="str">
        <x:v>https://www.google.com/search?q=site%3Aexploreminnesota.com%20Science%20Museum%20of%20Minnesota</x:v>
      </x:c>
      <x:c r="K155" s="16" t="str">
        <x:v>https://www.google.com/search?q=Science%20Museum%20of%20Minnesota%20St.%20Paul%20Minnesota%20visitor%20information</x:v>
      </x:c>
      <x:c r="L155" s="16" t="str">
        <x:v>https://www.google.com/search?q=Science%20Museum%20of%20Minnesota%20St.%20Paul%20Minnesota%20photos</x:v>
      </x:c>
      <x:c r="M155" s="16" t="str">
        <x:v>https://www.google.com/search?q=Science%20Museum%20of%20Minnesota%20St.%20Paul%20Minnesota%20wikipedia%20OR%20wikivoyage</x:v>
      </x:c>
      <x:c r="N155" s="16" t="str">
        <x:v>https://www.google.com/maps/search/?api=1&amp;query=Science%20Museum%20of%20Minnesota%2C%20St.%20Paul%2C%20Minnesota</x:v>
      </x:c>
      <x:c r="O155" s="17" t="b">
        <x:v>1</x:v>
      </x:c>
      <x:c r="P155" s="16" t="b">
        <x:f>IFERROR(VLOOKUP(A155,States!$A$2:$B$18,2,FALSE),FALSE)</x:f>
        <x:v>1</x:v>
      </x:c>
      <x:c r="Q155" s="16" t="b">
        <x:f>AND(OR(O155=TRUE,O155="TRUE"),OR(P155=TRUE,P155="TRUE"))</x:f>
        <x:v>1</x:v>
      </x:c>
    </x:row>
    <x:row r="156">
      <x:c r="A156" s="16" t="str">
        <x:v>Minnesota</x:v>
      </x:c>
      <x:c r="B156" s="16" t="str">
        <x:v>Minneapolis</x:v>
      </x:c>
      <x:c r="C156" s="16" t="n">
        <x:v>-93.211</x:v>
      </x:c>
      <x:c r="D156" s="16" t="n">
        <x:v>44.916</x:v>
      </x:c>
      <x:c r="E156" s="16" t="str">
        <x:v>Minnehaha Falls</x:v>
      </x:c>
      <x:c r="F156" s="16" t="str">
        <x:v>Families, walkers, cyclists</x:v>
      </x:c>
      <x:c r="G156" s="16" t="str">
        <x:v>A photogenic city waterfall connects to trails and parkland.</x:v>
      </x:c>
      <x:c r="H156" s="16" t="str">
        <x:v>Urban Park</x:v>
      </x:c>
      <x:c r="I156" s="16" t="str">
        <x:v>https://www.google.com/search?q=Minnehaha%20Falls%20Minneapolis%20Minnesota%20official%20website</x:v>
      </x:c>
      <x:c r="J156" s="16" t="str">
        <x:v>https://www.google.com/search?q=site%3Aexploreminnesota.com%20Minnehaha%20Falls</x:v>
      </x:c>
      <x:c r="K156" s="16" t="str">
        <x:v>https://www.google.com/search?q=Minnehaha%20Falls%20Minneapolis%20Minnesota%20visitor%20information</x:v>
      </x:c>
      <x:c r="L156" s="16" t="str">
        <x:v>https://www.google.com/search?q=Minnehaha%20Falls%20Minneapolis%20Minnesota%20photos</x:v>
      </x:c>
      <x:c r="M156" s="16" t="str">
        <x:v>https://www.google.com/search?q=Minnehaha%20Falls%20Minneapolis%20Minnesota%20wikipedia%20OR%20wikivoyage</x:v>
      </x:c>
      <x:c r="N156" s="16" t="str">
        <x:v>https://www.google.com/maps/search/?api=1&amp;query=Minnehaha%20Falls%2C%20Minneapolis%2C%20Minnesota</x:v>
      </x:c>
      <x:c r="O156" s="17" t="b">
        <x:v>1</x:v>
      </x:c>
      <x:c r="P156" s="16" t="b">
        <x:f>IFERROR(VLOOKUP(A156,States!$A$2:$B$18,2,FALSE),FALSE)</x:f>
        <x:v>1</x:v>
      </x:c>
      <x:c r="Q156" s="16" t="b">
        <x:f>AND(OR(O156=TRUE,O156="TRUE"),OR(P156=TRUE,P156="TRUE"))</x:f>
        <x:v>1</x:v>
      </x:c>
    </x:row>
    <x:row r="157">
      <x:c r="A157" s="16" t="str">
        <x:v>Minnesota</x:v>
      </x:c>
      <x:c r="B157" s="16" t="str">
        <x:v>Wabasha</x:v>
      </x:c>
      <x:c r="C157" s="16" t="n">
        <x:v>-92.031</x:v>
      </x:c>
      <x:c r="D157" s="16" t="n">
        <x:v>44.383</x:v>
      </x:c>
      <x:c r="E157" s="16" t="str">
        <x:v>National Eagle Center</x:v>
      </x:c>
      <x:c r="F157" s="16" t="str">
        <x:v>Birders, families</x:v>
      </x:c>
      <x:c r="G157" s="16" t="str">
        <x:v>Live eagle programs and river migration stories fit a Mississippi stop.</x:v>
      </x:c>
      <x:c r="H157" s="16" t="str">
        <x:v>Wildlife</x:v>
      </x:c>
      <x:c r="I157" s="16" t="str">
        <x:v>https://www.google.com/search?q=National%20Eagle%20Center%20Wabasha%20Minnesota%20official%20website</x:v>
      </x:c>
      <x:c r="J157" s="16" t="str">
        <x:v>https://www.google.com/search?q=site%3Aexploreminnesota.com%20National%20Eagle%20Center</x:v>
      </x:c>
      <x:c r="K157" s="16" t="str">
        <x:v>https://www.google.com/search?q=National%20Eagle%20Center%20Wabasha%20Minnesota%20visitor%20information</x:v>
      </x:c>
      <x:c r="L157" s="16" t="str">
        <x:v>https://www.google.com/search?q=National%20Eagle%20Center%20Wabasha%20Minnesota%20photos</x:v>
      </x:c>
      <x:c r="M157" s="16" t="str">
        <x:v>https://www.google.com/search?q=National%20Eagle%20Center%20Wabasha%20Minnesota%20wikipedia%20OR%20wikivoyage</x:v>
      </x:c>
      <x:c r="N157" s="16" t="str">
        <x:v>https://www.google.com/maps/search/?api=1&amp;query=National%20Eagle%20Center%2C%20Wabasha%2C%20Minnesota</x:v>
      </x:c>
      <x:c r="O157" s="17" t="b">
        <x:v>1</x:v>
      </x:c>
      <x:c r="P157" s="16" t="b">
        <x:f>IFERROR(VLOOKUP(A157,States!$A$2:$B$18,2,FALSE),FALSE)</x:f>
        <x:v>1</x:v>
      </x:c>
      <x:c r="Q157" s="16" t="b">
        <x:f>AND(OR(O157=TRUE,O157="TRUE"),OR(P157=TRUE,P157="TRUE"))</x:f>
        <x:v>1</x:v>
      </x:c>
    </x:row>
    <x:row r="158">
      <x:c r="A158" s="16" t="str">
        <x:v>Minnesota</x:v>
      </x:c>
      <x:c r="B158" s="16" t="str">
        <x:v>Pipestone</x:v>
      </x:c>
      <x:c r="C158" s="16" t="n">
        <x:v>-96.325</x:v>
      </x:c>
      <x:c r="D158" s="16" t="n">
        <x:v>44.013</x:v>
      </x:c>
      <x:c r="E158" s="16" t="str">
        <x:v>Pipestone National Monument</x:v>
      </x:c>
      <x:c r="F158" s="16" t="str">
        <x:v>History travelers, families</x:v>
      </x:c>
      <x:c r="G158" s="16" t="str">
        <x:v>Sacred quarries and prairie trails interpret Indigenous cultural traditions.</x:v>
      </x:c>
      <x:c r="H158" s="16" t="str">
        <x:v>Historic Site</x:v>
      </x:c>
      <x:c r="I158" s="16" t="str">
        <x:v>https://www.google.com/search?q=Pipestone%20National%20Monument%20Pipestone%20Minnesota%20official%20website</x:v>
      </x:c>
      <x:c r="J158" s="16" t="str">
        <x:v>https://www.google.com/search?q=site%3Aexploreminnesota.com%20Pipestone%20National%20Monument</x:v>
      </x:c>
      <x:c r="K158" s="16" t="str">
        <x:v>https://www.google.com/search?q=Pipestone%20National%20Monument%20Pipestone%20Minnesota%20visitor%20information</x:v>
      </x:c>
      <x:c r="L158" s="16" t="str">
        <x:v>https://www.google.com/search?q=Pipestone%20National%20Monument%20Pipestone%20Minnesota%20photos</x:v>
      </x:c>
      <x:c r="M158" s="16" t="str">
        <x:v>https://www.google.com/search?q=Pipestone%20National%20Monument%20Pipestone%20Minnesota%20wikipedia%20OR%20wikivoyage</x:v>
      </x:c>
      <x:c r="N158" s="16" t="str">
        <x:v>https://www.google.com/maps/search/?api=1&amp;query=Pipestone%20National%20Monument%2C%20Pipestone%2C%20Minnesota</x:v>
      </x:c>
      <x:c r="O158" s="17" t="b">
        <x:v>1</x:v>
      </x:c>
      <x:c r="P158" s="16" t="b">
        <x:f>IFERROR(VLOOKUP(A158,States!$A$2:$B$18,2,FALSE),FALSE)</x:f>
        <x:v>1</x:v>
      </x:c>
      <x:c r="Q158" s="16" t="b">
        <x:f>AND(OR(O158=TRUE,O158="TRUE"),OR(P158=TRUE,P158="TRUE"))</x:f>
        <x:v>1</x:v>
      </x:c>
    </x:row>
    <x:row r="159">
      <x:c r="A159" s="16" t="str">
        <x:v>Minnesota</x:v>
      </x:c>
      <x:c r="B159" s="16" t="str">
        <x:v>Carlton</x:v>
      </x:c>
      <x:c r="C159" s="16" t="n">
        <x:v>-92.524</x:v>
      </x:c>
      <x:c r="D159" s="16" t="n">
        <x:v>46.655</x:v>
      </x:c>
      <x:c r="E159" s="16" t="str">
        <x:v>Jay Cooke State Park</x:v>
      </x:c>
      <x:c r="F159" s="16" t="str">
        <x:v>Hikers, families, photographers</x:v>
      </x:c>
      <x:c r="G159" s="16" t="str">
        <x:v>Swinging bridge views and rocky river trails sit near Duluth.</x:v>
      </x:c>
      <x:c r="H159" s="16" t="str">
        <x:v>Nature</x:v>
      </x:c>
      <x:c r="I159" s="16" t="str">
        <x:v>https://www.google.com/search?q=Jay%20Cooke%20State%20Park%20Carlton%20Minnesota%20official%20website</x:v>
      </x:c>
      <x:c r="J159" s="16" t="str">
        <x:v>https://www.google.com/search?q=site%3Aexploreminnesota.com%20Jay%20Cooke%20State%20Park</x:v>
      </x:c>
      <x:c r="K159" s="16" t="str">
        <x:v>https://www.google.com/search?q=Jay%20Cooke%20State%20Park%20Carlton%20Minnesota%20visitor%20information</x:v>
      </x:c>
      <x:c r="L159" s="16" t="str">
        <x:v>https://www.google.com/search?q=Jay%20Cooke%20State%20Park%20Carlton%20Minnesota%20photos</x:v>
      </x:c>
      <x:c r="M159" s="16" t="str">
        <x:v>https://www.google.com/search?q=Jay%20Cooke%20State%20Park%20Carlton%20Minnesota%20wikipedia%20OR%20wikivoyage</x:v>
      </x:c>
      <x:c r="N159" s="16" t="str">
        <x:v>https://www.google.com/maps/search/?api=1&amp;query=Jay%20Cooke%20State%20Park%2C%20Carlton%2C%20Minnesota</x:v>
      </x:c>
      <x:c r="O159" s="17" t="b">
        <x:v>1</x:v>
      </x:c>
      <x:c r="P159" s="16" t="b">
        <x:f>IFERROR(VLOOKUP(A159,States!$A$2:$B$18,2,FALSE),FALSE)</x:f>
        <x:v>1</x:v>
      </x:c>
      <x:c r="Q159" s="16" t="b">
        <x:f>AND(OR(O159=TRUE,O159="TRUE"),OR(P159=TRUE,P159="TRUE"))</x:f>
        <x:v>1</x:v>
      </x:c>
    </x:row>
    <x:row r="160">
      <x:c r="A160" s="16" t="str">
        <x:v>Minnesota</x:v>
      </x:c>
      <x:c r="B160" s="16" t="str">
        <x:v>St. Paul</x:v>
      </x:c>
      <x:c r="C160" s="16" t="n">
        <x:v>-93.102</x:v>
      </x:c>
      <x:c r="D160" s="16" t="n">
        <x:v>44.955</x:v>
      </x:c>
      <x:c r="E160" s="16" t="str">
        <x:v>Minnesota State Capitol</x:v>
      </x:c>
      <x:c r="F160" s="16" t="str">
        <x:v>Architecture fans, history travelers</x:v>
      </x:c>
      <x:c r="G160" s="16" t="str">
        <x:v>A restored Beaux-Arts capitol shows civic architecture and state history.</x:v>
      </x:c>
      <x:c r="H160" s="16" t="str">
        <x:v>Architecture</x:v>
      </x:c>
      <x:c r="I160" s="16" t="str">
        <x:v>https://www.google.com/search?q=Minnesota%20State%20Capitol%20St.%20Paul%20Minnesota%20official%20website</x:v>
      </x:c>
      <x:c r="J160" s="16" t="str">
        <x:v>https://www.google.com/search?q=site%3Aexploreminnesota.com%20Minnesota%20State%20Capitol</x:v>
      </x:c>
      <x:c r="K160" s="16" t="str">
        <x:v>https://www.google.com/search?q=Minnesota%20State%20Capitol%20St.%20Paul%20Minnesota%20visitor%20information</x:v>
      </x:c>
      <x:c r="L160" s="16" t="str">
        <x:v>https://www.google.com/search?q=Minnesota%20State%20Capitol%20St.%20Paul%20Minnesota%20photos</x:v>
      </x:c>
      <x:c r="M160" s="16" t="str">
        <x:v>https://www.google.com/search?q=Minnesota%20State%20Capitol%20St.%20Paul%20Minnesota%20wikipedia%20OR%20wikivoyage</x:v>
      </x:c>
      <x:c r="N160" s="16" t="str">
        <x:v>https://www.google.com/maps/search/?api=1&amp;query=Minnesota%20State%20Capitol%2C%20St.%20Paul%2C%20Minnesota</x:v>
      </x:c>
      <x:c r="O160" s="17" t="b">
        <x:v>1</x:v>
      </x:c>
      <x:c r="P160" s="16" t="b">
        <x:f>IFERROR(VLOOKUP(A160,States!$A$2:$B$18,2,FALSE),FALSE)</x:f>
        <x:v>1</x:v>
      </x:c>
      <x:c r="Q160" s="16" t="b">
        <x:f>AND(OR(O160=TRUE,O160="TRUE"),OR(P160=TRUE,P160="TRUE"))</x:f>
        <x:v>1</x:v>
      </x:c>
    </x:row>
    <x:row r="161">
      <x:c r="A161" s="16" t="str">
        <x:v>Minnesota</x:v>
      </x:c>
      <x:c r="B161" s="16" t="str">
        <x:v>Austin</x:v>
      </x:c>
      <x:c r="C161" s="16" t="n">
        <x:v>-92.974</x:v>
      </x:c>
      <x:c r="D161" s="16" t="n">
        <x:v>43.667</x:v>
      </x:c>
      <x:c r="E161" s="16" t="str">
        <x:v>SPAM Museum</x:v>
      </x:c>
      <x:c r="F161" s="16" t="str">
        <x:v>Families, food-history fans</x:v>
      </x:c>
      <x:c r="G161" s="16" t="str">
        <x:v>A quirky free museum turns a famous canned meat into playful history.</x:v>
      </x:c>
      <x:c r="H161" s="16" t="str">
        <x:v>Roadside</x:v>
      </x:c>
      <x:c r="I161" s="16" t="str">
        <x:v>https://www.google.com/search?q=SPAM%20Museum%20Austin%20Minnesota%20official%20website</x:v>
      </x:c>
      <x:c r="J161" s="16" t="str">
        <x:v>https://www.google.com/search?q=site%3Aexploreminnesota.com%20SPAM%20Museum</x:v>
      </x:c>
      <x:c r="K161" s="16" t="str">
        <x:v>https://www.google.com/search?q=SPAM%20Museum%20Austin%20Minnesota%20visitor%20information</x:v>
      </x:c>
      <x:c r="L161" s="16" t="str">
        <x:v>https://www.google.com/search?q=SPAM%20Museum%20Austin%20Minnesota%20photos</x:v>
      </x:c>
      <x:c r="M161" s="16" t="str">
        <x:v>https://www.google.com/search?q=SPAM%20Museum%20Austin%20Minnesota%20wikipedia%20OR%20wikivoyage</x:v>
      </x:c>
      <x:c r="N161" s="16" t="str">
        <x:v>https://www.google.com/maps/search/?api=1&amp;query=SPAM%20Museum%2C%20Austin%2C%20Minnesota</x:v>
      </x:c>
      <x:c r="O161" s="17" t="b">
        <x:v>1</x:v>
      </x:c>
      <x:c r="P161" s="16" t="b">
        <x:f>IFERROR(VLOOKUP(A161,States!$A$2:$B$18,2,FALSE),FALSE)</x:f>
        <x:v>1</x:v>
      </x:c>
      <x:c r="Q161" s="16" t="b">
        <x:f>AND(OR(O161=TRUE,O161="TRUE"),OR(P161=TRUE,P161="TRUE"))</x:f>
        <x:v>1</x:v>
      </x:c>
    </x:row>
    <x:row r="162">
      <x:c r="A162" s="16" t="str">
        <x:v>Iowa</x:v>
      </x:c>
      <x:c r="B162" s="16" t="str">
        <x:v>Maquoketa</x:v>
      </x:c>
      <x:c r="C162" s="16" t="n">
        <x:v>-90.76</x:v>
      </x:c>
      <x:c r="D162" s="16" t="n">
        <x:v>42.118</x:v>
      </x:c>
      <x:c r="E162" s="16" t="str">
        <x:v>Maquoketa Caves State Park</x:v>
      </x:c>
      <x:c r="F162" s="16" t="str">
        <x:v>Families, hikers, geology fans</x:v>
      </x:c>
      <x:c r="G162" s="16" t="str">
        <x:v>A network of caves and trails makes a distinctive outdoor stop.</x:v>
      </x:c>
      <x:c r="H162" s="16" t="str">
        <x:v>Nature</x:v>
      </x:c>
      <x:c r="I162" s="16" t="str">
        <x:v>https://www.google.com/search?q=Maquoketa%20Caves%20State%20Park%20Maquoketa%20Iowa%20official%20website</x:v>
      </x:c>
      <x:c r="J162" s="16" t="str">
        <x:v>https://www.google.com/search?q=site%3Atraveliowa.com%20Maquoketa%20Caves%20State%20Park</x:v>
      </x:c>
      <x:c r="K162" s="16" t="str">
        <x:v>https://www.google.com/search?q=Maquoketa%20Caves%20State%20Park%20Maquoketa%20Iowa%20visitor%20information</x:v>
      </x:c>
      <x:c r="L162" s="16" t="str">
        <x:v>https://www.google.com/search?q=Maquoketa%20Caves%20State%20Park%20Maquoketa%20Iowa%20photos</x:v>
      </x:c>
      <x:c r="M162" s="16" t="str">
        <x:v>https://www.google.com/search?q=Maquoketa%20Caves%20State%20Park%20Maquoketa%20Iowa%20wikipedia%20OR%20wikivoyage</x:v>
      </x:c>
      <x:c r="N162" s="16" t="str">
        <x:v>https://www.google.com/maps/search/?api=1&amp;query=Maquoketa%20Caves%20State%20Park%2C%20Maquoketa%2C%20Iowa</x:v>
      </x:c>
      <x:c r="O162" s="17" t="b">
        <x:v>1</x:v>
      </x:c>
      <x:c r="P162" s="16" t="b">
        <x:f>IFERROR(VLOOKUP(A162,States!$A$2:$B$18,2,FALSE),FALSE)</x:f>
        <x:v>1</x:v>
      </x:c>
      <x:c r="Q162" s="16" t="b">
        <x:f>AND(OR(O162=TRUE,O162="TRUE"),OR(P162=TRUE,P162="TRUE"))</x:f>
        <x:v>1</x:v>
      </x:c>
    </x:row>
    <x:row r="163">
      <x:c r="A163" s="16" t="str">
        <x:v>Iowa</x:v>
      </x:c>
      <x:c r="B163" s="16" t="str">
        <x:v>Harpers Ferry</x:v>
      </x:c>
      <x:c r="C163" s="16" t="n">
        <x:v>-91.196</x:v>
      </x:c>
      <x:c r="D163" s="16" t="n">
        <x:v>43.087</x:v>
      </x:c>
      <x:c r="E163" s="16" t="str">
        <x:v>Effigy Mounds National Monument</x:v>
      </x:c>
      <x:c r="F163" s="16" t="str">
        <x:v>History travelers, hikers</x:v>
      </x:c>
      <x:c r="G163" s="16" t="str">
        <x:v>Ancient mound groups sit above Mississippi River bluffs.</x:v>
      </x:c>
      <x:c r="H163" s="16" t="str">
        <x:v>Historic Site</x:v>
      </x:c>
      <x:c r="I163" s="16" t="str">
        <x:v>https://www.google.com/search?q=Effigy%20Mounds%20National%20Monument%20Harpers%20Ferry%20Iowa%20official%20website</x:v>
      </x:c>
      <x:c r="J163" s="16" t="str">
        <x:v>https://www.google.com/search?q=site%3Atraveliowa.com%20Effigy%20Mounds%20National%20Monument</x:v>
      </x:c>
      <x:c r="K163" s="16" t="str">
        <x:v>https://www.google.com/search?q=Effigy%20Mounds%20National%20Monument%20Harpers%20Ferry%20Iowa%20visitor%20information</x:v>
      </x:c>
      <x:c r="L163" s="16" t="str">
        <x:v>https://www.google.com/search?q=Effigy%20Mounds%20National%20Monument%20Harpers%20Ferry%20Iowa%20photos</x:v>
      </x:c>
      <x:c r="M163" s="16" t="str">
        <x:v>https://www.google.com/search?q=Effigy%20Mounds%20National%20Monument%20Harpers%20Ferry%20Iowa%20wikipedia%20OR%20wikivoyage</x:v>
      </x:c>
      <x:c r="N163" s="16" t="str">
        <x:v>https://www.google.com/maps/search/?api=1&amp;query=Effigy%20Mounds%20National%20Monument%2C%20Harpers%20Ferry%2C%20Iowa</x:v>
      </x:c>
      <x:c r="O163" s="17" t="b">
        <x:v>1</x:v>
      </x:c>
      <x:c r="P163" s="16" t="b">
        <x:f>IFERROR(VLOOKUP(A163,States!$A$2:$B$18,2,FALSE),FALSE)</x:f>
        <x:v>1</x:v>
      </x:c>
      <x:c r="Q163" s="16" t="b">
        <x:f>AND(OR(O163=TRUE,O163="TRUE"),OR(P163=TRUE,P163="TRUE"))</x:f>
        <x:v>1</x:v>
      </x:c>
    </x:row>
    <x:row r="164">
      <x:c r="A164" s="16" t="str">
        <x:v>Iowa</x:v>
      </x:c>
      <x:c r="B164" s="16" t="str">
        <x:v>Dyersville</x:v>
      </x:c>
      <x:c r="C164" s="16" t="n">
        <x:v>-91.047</x:v>
      </x:c>
      <x:c r="D164" s="16" t="n">
        <x:v>42.498</x:v>
      </x:c>
      <x:c r="E164" s="16" t="str">
        <x:v>Field of Dreams Movie Site</x:v>
      </x:c>
      <x:c r="F164" s="16" t="str">
        <x:v>Baseball fans, film lovers</x:v>
      </x:c>
      <x:c r="G164" s="16" t="str">
        <x:v>The preserved ballfield turns a beloved movie into a real visit.</x:v>
      </x:c>
      <x:c r="H164" s="16" t="str">
        <x:v>Sports</x:v>
      </x:c>
      <x:c r="I164" s="16" t="str">
        <x:v>https://www.google.com/search?q=Field%20of%20Dreams%20Movie%20Site%20Dyersville%20Iowa%20official%20website</x:v>
      </x:c>
      <x:c r="J164" s="16" t="str">
        <x:v>https://www.google.com/search?q=site%3Atraveliowa.com%20Field%20of%20Dreams%20Movie%20Site</x:v>
      </x:c>
      <x:c r="K164" s="16" t="str">
        <x:v>https://www.google.com/search?q=Field%20of%20Dreams%20Movie%20Site%20Dyersville%20Iowa%20visitor%20information</x:v>
      </x:c>
      <x:c r="L164" s="16" t="str">
        <x:v>https://www.google.com/search?q=Field%20of%20Dreams%20Movie%20Site%20Dyersville%20Iowa%20photos</x:v>
      </x:c>
      <x:c r="M164" s="16" t="str">
        <x:v>https://www.google.com/search?q=Field%20of%20Dreams%20Movie%20Site%20Dyersville%20Iowa%20wikipedia%20OR%20wikivoyage</x:v>
      </x:c>
      <x:c r="N164" s="16" t="str">
        <x:v>https://www.google.com/maps/search/?api=1&amp;query=Field%20of%20Dreams%20Movie%20Site%2C%20Dyersville%2C%20Iowa</x:v>
      </x:c>
      <x:c r="O164" s="17" t="b">
        <x:v>1</x:v>
      </x:c>
      <x:c r="P164" s="16" t="b">
        <x:f>IFERROR(VLOOKUP(A164,States!$A$2:$B$18,2,FALSE),FALSE)</x:f>
        <x:v>1</x:v>
      </x:c>
      <x:c r="Q164" s="16" t="b">
        <x:f>AND(OR(O164=TRUE,O164="TRUE"),OR(P164=TRUE,P164="TRUE"))</x:f>
        <x:v>1</x:v>
      </x:c>
    </x:row>
    <x:row r="165">
      <x:c r="A165" s="16" t="str">
        <x:v>Iowa</x:v>
      </x:c>
      <x:c r="B165" s="16" t="str">
        <x:v>West Bend</x:v>
      </x:c>
      <x:c r="C165" s="16" t="n">
        <x:v>-94.444</x:v>
      </x:c>
      <x:c r="D165" s="16" t="n">
        <x:v>42.962</x:v>
      </x:c>
      <x:c r="E165" s="16" t="str">
        <x:v>Grotto of the Redemption</x:v>
      </x:c>
      <x:c r="F165" s="16" t="str">
        <x:v>Art lovers, faith travelers, roadside fans</x:v>
      </x:c>
      <x:c r="G165" s="16" t="str">
        <x:v>A vast mosaic grotto built with stones and minerals is startlingly detailed.</x:v>
      </x:c>
      <x:c r="H165" s="16" t="str">
        <x:v>Roadside</x:v>
      </x:c>
      <x:c r="I165" s="16" t="str">
        <x:v>https://www.google.com/search?q=Grotto%20of%20the%20Redemption%20West%20Bend%20Iowa%20official%20website</x:v>
      </x:c>
      <x:c r="J165" s="16" t="str">
        <x:v>https://www.google.com/search?q=site%3Atraveliowa.com%20Grotto%20of%20the%20Redemption</x:v>
      </x:c>
      <x:c r="K165" s="16" t="str">
        <x:v>https://www.google.com/search?q=Grotto%20of%20the%20Redemption%20West%20Bend%20Iowa%20visitor%20information</x:v>
      </x:c>
      <x:c r="L165" s="16" t="str">
        <x:v>https://www.google.com/search?q=Grotto%20of%20the%20Redemption%20West%20Bend%20Iowa%20photos</x:v>
      </x:c>
      <x:c r="M165" s="16" t="str">
        <x:v>https://www.google.com/search?q=Grotto%20of%20the%20Redemption%20West%20Bend%20Iowa%20wikipedia%20OR%20wikivoyage</x:v>
      </x:c>
      <x:c r="N165" s="16" t="str">
        <x:v>https://www.google.com/maps/search/?api=1&amp;query=Grotto%20of%20the%20Redemption%2C%20West%20Bend%2C%20Iowa</x:v>
      </x:c>
      <x:c r="O165" s="17" t="b">
        <x:v>1</x:v>
      </x:c>
      <x:c r="P165" s="16" t="b">
        <x:f>IFERROR(VLOOKUP(A165,States!$A$2:$B$18,2,FALSE),FALSE)</x:f>
        <x:v>1</x:v>
      </x:c>
      <x:c r="Q165" s="16" t="b">
        <x:f>AND(OR(O165=TRUE,O165="TRUE"),OR(P165=TRUE,P165="TRUE"))</x:f>
        <x:v>1</x:v>
      </x:c>
    </x:row>
    <x:row r="166">
      <x:c r="A166" s="16" t="str">
        <x:v>Iowa</x:v>
      </x:c>
      <x:c r="B166" s="16" t="str">
        <x:v>Dubuque</x:v>
      </x:c>
      <x:c r="C166" s="16" t="n">
        <x:v>-90.665</x:v>
      </x:c>
      <x:c r="D166" s="16" t="n">
        <x:v>42.496</x:v>
      </x:c>
      <x:c r="E166" s="16" t="str">
        <x:v>National Mississippi River Museum and Aquarium</x:v>
      </x:c>
      <x:c r="F166" s="16" t="str">
        <x:v>Families, river-history fans</x:v>
      </x:c>
      <x:c r="G166" s="16" t="str">
        <x:v>Aquariums, boats, and exhibits explain Mississippi River life.</x:v>
      </x:c>
      <x:c r="H166" s="16" t="str">
        <x:v>Museum</x:v>
      </x:c>
      <x:c r="I166" s="16" t="str">
        <x:v>https://www.google.com/search?q=National%20Mississippi%20River%20Museum%20and%20Aquarium%20Dubuque%20Iowa%20official%20website</x:v>
      </x:c>
      <x:c r="J166" s="16" t="str">
        <x:v>https://www.google.com/search?q=site%3Atraveliowa.com%20National%20Mississippi%20River%20Museum%20and%20Aquarium</x:v>
      </x:c>
      <x:c r="K166" s="16" t="str">
        <x:v>https://www.google.com/search?q=National%20Mississippi%20River%20Museum%20and%20Aquarium%20Dubuque%20Iowa%20visitor%20information</x:v>
      </x:c>
      <x:c r="L166" s="16" t="str">
        <x:v>https://www.google.com/search?q=National%20Mississippi%20River%20Museum%20and%20Aquarium%20Dubuque%20Iowa%20photos</x:v>
      </x:c>
      <x:c r="M166" s="16" t="str">
        <x:v>https://www.google.com/search?q=National%20Mississippi%20River%20Museum%20and%20Aquarium%20Dubuque%20Iowa%20wikipedia%20OR%20wikivoyage</x:v>
      </x:c>
      <x:c r="N166" s="16" t="str">
        <x:v>https://www.google.com/maps/search/?api=1&amp;query=National%20Mississippi%20River%20Museum%20and%20Aquarium%2C%20Dubuque%2C%20Iowa</x:v>
      </x:c>
      <x:c r="O166" s="17" t="b">
        <x:v>1</x:v>
      </x:c>
      <x:c r="P166" s="16" t="b">
        <x:f>IFERROR(VLOOKUP(A166,States!$A$2:$B$18,2,FALSE),FALSE)</x:f>
        <x:v>1</x:v>
      </x:c>
      <x:c r="Q166" s="16" t="b">
        <x:f>AND(OR(O166=TRUE,O166="TRUE"),OR(P166=TRUE,P166="TRUE"))</x:f>
        <x:v>1</x:v>
      </x:c>
    </x:row>
    <x:row r="167">
      <x:c r="A167" s="16" t="str">
        <x:v>Iowa</x:v>
      </x:c>
      <x:c r="B167" s="16" t="str">
        <x:v>Altoona</x:v>
      </x:c>
      <x:c r="C167" s="16" t="n">
        <x:v>-93.499</x:v>
      </x:c>
      <x:c r="D167" s="16" t="n">
        <x:v>41.658</x:v>
      </x:c>
      <x:c r="E167" s="16" t="str">
        <x:v>Adventureland Resort</x:v>
      </x:c>
      <x:c r="F167" s="16" t="str">
        <x:v>Families, thrill seekers</x:v>
      </x:c>
      <x:c r="G167" s="16" t="str">
        <x:v>Coasters, water attractions, and resort amenities create a classic park stop.</x:v>
      </x:c>
      <x:c r="H167" s="16" t="str">
        <x:v>Theme Park</x:v>
      </x:c>
      <x:c r="I167" s="16" t="str">
        <x:v>https://www.google.com/search?q=Adventureland%20Resort%20Altoona%20Iowa%20official%20website</x:v>
      </x:c>
      <x:c r="J167" s="16" t="str">
        <x:v>https://www.google.com/search?q=site%3Atraveliowa.com%20Adventureland%20Resort</x:v>
      </x:c>
      <x:c r="K167" s="16" t="str">
        <x:v>https://www.google.com/search?q=Adventureland%20Resort%20Altoona%20Iowa%20visitor%20information</x:v>
      </x:c>
      <x:c r="L167" s="16" t="str">
        <x:v>https://www.google.com/search?q=Adventureland%20Resort%20Altoona%20Iowa%20photos</x:v>
      </x:c>
      <x:c r="M167" s="16" t="str">
        <x:v>https://www.google.com/search?q=Adventureland%20Resort%20Altoona%20Iowa%20wikipedia%20OR%20wikivoyage</x:v>
      </x:c>
      <x:c r="N167" s="16" t="str">
        <x:v>https://www.google.com/maps/search/?api=1&amp;query=Adventureland%20Resort%2C%20Altoona%2C%20Iowa</x:v>
      </x:c>
      <x:c r="O167" s="17" t="b">
        <x:v>1</x:v>
      </x:c>
      <x:c r="P167" s="16" t="b">
        <x:f>IFERROR(VLOOKUP(A167,States!$A$2:$B$18,2,FALSE),FALSE)</x:f>
        <x:v>1</x:v>
      </x:c>
      <x:c r="Q167" s="16" t="b">
        <x:f>AND(OR(O167=TRUE,O167="TRUE"),OR(P167=TRUE,P167="TRUE"))</x:f>
        <x:v>1</x:v>
      </x:c>
    </x:row>
    <x:row r="168">
      <x:c r="A168" s="16" t="str">
        <x:v>Iowa</x:v>
      </x:c>
      <x:c r="B168" s="16" t="str">
        <x:v>Amana</x:v>
      </x:c>
      <x:c r="C168" s="16" t="n">
        <x:v>-91.869</x:v>
      </x:c>
      <x:c r="D168" s="16" t="n">
        <x:v>41.801</x:v>
      </x:c>
      <x:c r="E168" s="16" t="str">
        <x:v>Amana Colonies</x:v>
      </x:c>
      <x:c r="F168" s="16" t="str">
        <x:v>Food lovers, history travelers</x:v>
      </x:c>
      <x:c r="G168" s="16" t="str">
        <x:v>Historic villages preserve communal heritage, crafts, and hearty food traditions.</x:v>
      </x:c>
      <x:c r="H168" s="16" t="str">
        <x:v>Scenic Town</x:v>
      </x:c>
      <x:c r="I168" s="16" t="str">
        <x:v>https://www.google.com/search?q=Amana%20Colonies%20Amana%20Iowa%20official%20website</x:v>
      </x:c>
      <x:c r="J168" s="16" t="str">
        <x:v>https://www.google.com/search?q=site%3Atraveliowa.com%20Amana%20Colonies</x:v>
      </x:c>
      <x:c r="K168" s="16" t="str">
        <x:v>https://www.google.com/search?q=Amana%20Colonies%20Amana%20Iowa%20visitor%20information</x:v>
      </x:c>
      <x:c r="L168" s="16" t="str">
        <x:v>https://www.google.com/search?q=Amana%20Colonies%20Amana%20Iowa%20photos</x:v>
      </x:c>
      <x:c r="M168" s="16" t="str">
        <x:v>https://www.google.com/search?q=Amana%20Colonies%20Amana%20Iowa%20wikipedia%20OR%20wikivoyage</x:v>
      </x:c>
      <x:c r="N168" s="16" t="str">
        <x:v>https://www.google.com/maps/search/?api=1&amp;query=Amana%20Colonies%2C%20Amana%2C%20Iowa</x:v>
      </x:c>
      <x:c r="O168" s="17" t="b">
        <x:v>1</x:v>
      </x:c>
      <x:c r="P168" s="16" t="b">
        <x:f>IFERROR(VLOOKUP(A168,States!$A$2:$B$18,2,FALSE),FALSE)</x:f>
        <x:v>1</x:v>
      </x:c>
      <x:c r="Q168" s="16" t="b">
        <x:f>AND(OR(O168=TRUE,O168="TRUE"),OR(P168=TRUE,P168="TRUE"))</x:f>
        <x:v>1</x:v>
      </x:c>
    </x:row>
    <x:row r="169">
      <x:c r="A169" s="16" t="str">
        <x:v>Iowa</x:v>
      </x:c>
      <x:c r="B169" s="16" t="str">
        <x:v>Ames</x:v>
      </x:c>
      <x:c r="C169" s="16" t="n">
        <x:v>-93.638</x:v>
      </x:c>
      <x:c r="D169" s="16" t="n">
        <x:v>42.012</x:v>
      </x:c>
      <x:c r="E169" s="16" t="str">
        <x:v>Reiman Gardens</x:v>
      </x:c>
      <x:c r="F169" s="16" t="str">
        <x:v>Garden lovers, families</x:v>
      </x:c>
      <x:c r="G169" s="16" t="str">
        <x:v>Butterflies, themed gardens, and campus setting make it easy to enjoy.</x:v>
      </x:c>
      <x:c r="H169" s="16" t="str">
        <x:v>Garden</x:v>
      </x:c>
      <x:c r="I169" s="16" t="str">
        <x:v>https://www.google.com/search?q=Reiman%20Gardens%20Ames%20Iowa%20official%20website</x:v>
      </x:c>
      <x:c r="J169" s="16" t="str">
        <x:v>https://www.google.com/search?q=site%3Atraveliowa.com%20Reiman%20Gardens</x:v>
      </x:c>
      <x:c r="K169" s="16" t="str">
        <x:v>https://www.google.com/search?q=Reiman%20Gardens%20Ames%20Iowa%20visitor%20information</x:v>
      </x:c>
      <x:c r="L169" s="16" t="str">
        <x:v>https://www.google.com/search?q=Reiman%20Gardens%20Ames%20Iowa%20photos</x:v>
      </x:c>
      <x:c r="M169" s="16" t="str">
        <x:v>https://www.google.com/search?q=Reiman%20Gardens%20Ames%20Iowa%20wikipedia%20OR%20wikivoyage</x:v>
      </x:c>
      <x:c r="N169" s="16" t="str">
        <x:v>https://www.google.com/maps/search/?api=1&amp;query=Reiman%20Gardens%2C%20Ames%2C%20Iowa</x:v>
      </x:c>
      <x:c r="O169" s="17" t="b">
        <x:v>1</x:v>
      </x:c>
      <x:c r="P169" s="16" t="b">
        <x:f>IFERROR(VLOOKUP(A169,States!$A$2:$B$18,2,FALSE),FALSE)</x:f>
        <x:v>1</x:v>
      </x:c>
      <x:c r="Q169" s="16" t="b">
        <x:f>AND(OR(O169=TRUE,O169="TRUE"),OR(P169=TRUE,P169="TRUE"))</x:f>
        <x:v>1</x:v>
      </x:c>
    </x:row>
    <x:row r="170">
      <x:c r="A170" s="16" t="str">
        <x:v>Iowa</x:v>
      </x:c>
      <x:c r="B170" s="16" t="str">
        <x:v>Des Moines</x:v>
      </x:c>
      <x:c r="C170" s="16" t="n">
        <x:v>-93.657</x:v>
      </x:c>
      <x:c r="D170" s="16" t="n">
        <x:v>41.552</x:v>
      </x:c>
      <x:c r="E170" s="16" t="str">
        <x:v>Blank Park Zoo</x:v>
      </x:c>
      <x:c r="F170" s="16" t="str">
        <x:v>Families, animal lovers</x:v>
      </x:c>
      <x:c r="G170" s="16" t="str">
        <x:v>A manageable zoo offers animal encounters and kid-friendly exhibits.</x:v>
      </x:c>
      <x:c r="H170" s="16" t="str">
        <x:v>Zoo/Aquarium</x:v>
      </x:c>
      <x:c r="I170" s="16" t="str">
        <x:v>https://www.google.com/search?q=Blank%20Park%20Zoo%20Des%20Moines%20Iowa%20official%20website</x:v>
      </x:c>
      <x:c r="J170" s="16" t="str">
        <x:v>https://www.google.com/search?q=site%3Atraveliowa.com%20Blank%20Park%20Zoo</x:v>
      </x:c>
      <x:c r="K170" s="16" t="str">
        <x:v>https://www.google.com/search?q=Blank%20Park%20Zoo%20Des%20Moines%20Iowa%20visitor%20information</x:v>
      </x:c>
      <x:c r="L170" s="16" t="str">
        <x:v>https://www.google.com/search?q=Blank%20Park%20Zoo%20Des%20Moines%20Iowa%20photos</x:v>
      </x:c>
      <x:c r="M170" s="16" t="str">
        <x:v>https://www.google.com/search?q=Blank%20Park%20Zoo%20Des%20Moines%20Iowa%20wikipedia%20OR%20wikivoyage</x:v>
      </x:c>
      <x:c r="N170" s="16" t="str">
        <x:v>https://www.google.com/maps/search/?api=1&amp;query=Blank%20Park%20Zoo%2C%20Des%20Moines%2C%20Iowa</x:v>
      </x:c>
      <x:c r="O170" s="17" t="b">
        <x:v>1</x:v>
      </x:c>
      <x:c r="P170" s="16" t="b">
        <x:f>IFERROR(VLOOKUP(A170,States!$A$2:$B$18,2,FALSE),FALSE)</x:f>
        <x:v>1</x:v>
      </x:c>
      <x:c r="Q170" s="16" t="b">
        <x:f>AND(OR(O170=TRUE,O170="TRUE"),OR(P170=TRUE,P170="TRUE"))</x:f>
        <x:v>1</x:v>
      </x:c>
    </x:row>
    <x:row r="171">
      <x:c r="A171" s="16" t="str">
        <x:v>Iowa</x:v>
      </x:c>
      <x:c r="B171" s="16" t="str">
        <x:v>Des Moines</x:v>
      </x:c>
      <x:c r="C171" s="16" t="n">
        <x:v>-93.603</x:v>
      </x:c>
      <x:c r="D171" s="16" t="n">
        <x:v>41.591</x:v>
      </x:c>
      <x:c r="E171" s="16" t="str">
        <x:v>Iowa State Capitol</x:v>
      </x:c>
      <x:c r="F171" s="16" t="str">
        <x:v>Architecture fans, history travelers</x:v>
      </x:c>
      <x:c r="G171" s="16" t="str">
        <x:v>The gold-domed capitol anchors state history and skyline views.</x:v>
      </x:c>
      <x:c r="H171" s="16" t="str">
        <x:v>Architecture</x:v>
      </x:c>
      <x:c r="I171" s="16" t="str">
        <x:v>https://www.google.com/search?q=Iowa%20State%20Capitol%20Des%20Moines%20Iowa%20official%20website</x:v>
      </x:c>
      <x:c r="J171" s="16" t="str">
        <x:v>https://www.google.com/search?q=site%3Atraveliowa.com%20Iowa%20State%20Capitol</x:v>
      </x:c>
      <x:c r="K171" s="16" t="str">
        <x:v>https://www.google.com/search?q=Iowa%20State%20Capitol%20Des%20Moines%20Iowa%20visitor%20information</x:v>
      </x:c>
      <x:c r="L171" s="16" t="str">
        <x:v>https://www.google.com/search?q=Iowa%20State%20Capitol%20Des%20Moines%20Iowa%20photos</x:v>
      </x:c>
      <x:c r="M171" s="16" t="str">
        <x:v>https://www.google.com/search?q=Iowa%20State%20Capitol%20Des%20Moines%20Iowa%20wikipedia%20OR%20wikivoyage</x:v>
      </x:c>
      <x:c r="N171" s="16" t="str">
        <x:v>https://www.google.com/maps/search/?api=1&amp;query=Iowa%20State%20Capitol%2C%20Des%20Moines%2C%20Iowa</x:v>
      </x:c>
      <x:c r="O171" s="17" t="b">
        <x:v>1</x:v>
      </x:c>
      <x:c r="P171" s="16" t="b">
        <x:f>IFERROR(VLOOKUP(A171,States!$A$2:$B$18,2,FALSE),FALSE)</x:f>
        <x:v>1</x:v>
      </x:c>
      <x:c r="Q171" s="16" t="b">
        <x:f>AND(OR(O171=TRUE,O171="TRUE"),OR(P171=TRUE,P171="TRUE"))</x:f>
        <x:v>1</x:v>
      </x:c>
    </x:row>
    <x:row r="172">
      <x:c r="A172" s="16" t="str">
        <x:v>Iowa</x:v>
      </x:c>
      <x:c r="B172" s="16" t="str">
        <x:v>McGregor</x:v>
      </x:c>
      <x:c r="C172" s="16" t="n">
        <x:v>-91.155</x:v>
      </x:c>
      <x:c r="D172" s="16" t="n">
        <x:v>43.002</x:v>
      </x:c>
      <x:c r="E172" s="16" t="str">
        <x:v>Pikes Peak State Park</x:v>
      </x:c>
      <x:c r="F172" s="16" t="str">
        <x:v>Scenic drivers, hikers</x:v>
      </x:c>
      <x:c r="G172" s="16" t="str">
        <x:v>High overlooks frame the Mississippi and Wisconsin River confluence.</x:v>
      </x:c>
      <x:c r="H172" s="16" t="str">
        <x:v>Nature</x:v>
      </x:c>
      <x:c r="I172" s="16" t="str">
        <x:v>https://www.google.com/search?q=Pikes%20Peak%20State%20Park%20McGregor%20Iowa%20official%20website</x:v>
      </x:c>
      <x:c r="J172" s="16" t="str">
        <x:v>https://www.google.com/search?q=site%3Atraveliowa.com%20Pikes%20Peak%20State%20Park</x:v>
      </x:c>
      <x:c r="K172" s="16" t="str">
        <x:v>https://www.google.com/search?q=Pikes%20Peak%20State%20Park%20McGregor%20Iowa%20visitor%20information</x:v>
      </x:c>
      <x:c r="L172" s="16" t="str">
        <x:v>https://www.google.com/search?q=Pikes%20Peak%20State%20Park%20McGregor%20Iowa%20photos</x:v>
      </x:c>
      <x:c r="M172" s="16" t="str">
        <x:v>https://www.google.com/search?q=Pikes%20Peak%20State%20Park%20McGregor%20Iowa%20wikipedia%20OR%20wikivoyage</x:v>
      </x:c>
      <x:c r="N172" s="16" t="str">
        <x:v>https://www.google.com/maps/search/?api=1&amp;query=Pikes%20Peak%20State%20Park%2C%20McGregor%2C%20Iowa</x:v>
      </x:c>
      <x:c r="O172" s="17" t="b">
        <x:v>1</x:v>
      </x:c>
      <x:c r="P172" s="16" t="b">
        <x:f>IFERROR(VLOOKUP(A172,States!$A$2:$B$18,2,FALSE),FALSE)</x:f>
        <x:v>1</x:v>
      </x:c>
      <x:c r="Q172" s="16" t="b">
        <x:f>AND(OR(O172=TRUE,O172="TRUE"),OR(P172=TRUE,P172="TRUE"))</x:f>
        <x:v>1</x:v>
      </x:c>
    </x:row>
    <x:row r="173">
      <x:c r="A173" s="16" t="str">
        <x:v>Iowa</x:v>
      </x:c>
      <x:c r="B173" s="16" t="str">
        <x:v>Winterset</x:v>
      </x:c>
      <x:c r="C173" s="16" t="n">
        <x:v>-94.014</x:v>
      </x:c>
      <x:c r="D173" s="16" t="n">
        <x:v>41.331</x:v>
      </x:c>
      <x:c r="E173" s="16" t="str">
        <x:v>Madison County Covered Bridges</x:v>
      </x:c>
      <x:c r="F173" s="16" t="str">
        <x:v>Photographers, couples, road trippers</x:v>
      </x:c>
      <x:c r="G173" s="16" t="str">
        <x:v>Historic bridges and rural roads create a mellow scenic loop.</x:v>
      </x:c>
      <x:c r="H173" s="16" t="str">
        <x:v>Scenic Drive</x:v>
      </x:c>
      <x:c r="I173" s="16" t="str">
        <x:v>https://www.google.com/search?q=Madison%20County%20Covered%20Bridges%20Winterset%20Iowa%20official%20website</x:v>
      </x:c>
      <x:c r="J173" s="16" t="str">
        <x:v>https://www.google.com/search?q=site%3Atraveliowa.com%20Madison%20County%20Covered%20Bridges</x:v>
      </x:c>
      <x:c r="K173" s="16" t="str">
        <x:v>https://www.google.com/search?q=Madison%20County%20Covered%20Bridges%20Winterset%20Iowa%20visitor%20information</x:v>
      </x:c>
      <x:c r="L173" s="16" t="str">
        <x:v>https://www.google.com/search?q=Madison%20County%20Covered%20Bridges%20Winterset%20Iowa%20photos</x:v>
      </x:c>
      <x:c r="M173" s="16" t="str">
        <x:v>https://www.google.com/search?q=Madison%20County%20Covered%20Bridges%20Winterset%20Iowa%20wikipedia%20OR%20wikivoyage</x:v>
      </x:c>
      <x:c r="N173" s="16" t="str">
        <x:v>https://www.google.com/maps/search/?api=1&amp;query=Madison%20County%20Covered%20Bridges%2C%20Winterset%2C%20Iowa</x:v>
      </x:c>
      <x:c r="O173" s="17" t="b">
        <x:v>1</x:v>
      </x:c>
      <x:c r="P173" s="16" t="b">
        <x:f>IFERROR(VLOOKUP(A173,States!$A$2:$B$18,2,FALSE),FALSE)</x:f>
        <x:v>1</x:v>
      </x:c>
      <x:c r="Q173" s="16" t="b">
        <x:f>AND(OR(O173=TRUE,O173="TRUE"),OR(P173=TRUE,P173="TRUE"))</x:f>
        <x:v>1</x:v>
      </x:c>
    </x:row>
    <x:row r="174">
      <x:c r="A174" s="16" t="str">
        <x:v>Iowa</x:v>
      </x:c>
      <x:c r="B174" s="16" t="str">
        <x:v>Clear Lake</x:v>
      </x:c>
      <x:c r="C174" s="16" t="n">
        <x:v>-93.384</x:v>
      </x:c>
      <x:c r="D174" s="16" t="n">
        <x:v>43.139</x:v>
      </x:c>
      <x:c r="E174" s="16" t="str">
        <x:v>Surf Ballroom</x:v>
      </x:c>
      <x:c r="F174" s="16" t="str">
        <x:v>Music fans, history travelers</x:v>
      </x:c>
      <x:c r="G174" s="16" t="str">
        <x:v>A landmark venue preserves Buddy Holly-era rock-and-roll history.</x:v>
      </x:c>
      <x:c r="H174" s="16" t="str">
        <x:v>Historic Site</x:v>
      </x:c>
      <x:c r="I174" s="16" t="str">
        <x:v>https://www.google.com/search?q=Surf%20Ballroom%20Clear%20Lake%20Iowa%20official%20website</x:v>
      </x:c>
      <x:c r="J174" s="16" t="str">
        <x:v>https://www.google.com/search?q=site%3Atraveliowa.com%20Surf%20Ballroom</x:v>
      </x:c>
      <x:c r="K174" s="16" t="str">
        <x:v>https://www.google.com/search?q=Surf%20Ballroom%20Clear%20Lake%20Iowa%20visitor%20information</x:v>
      </x:c>
      <x:c r="L174" s="16" t="str">
        <x:v>https://www.google.com/search?q=Surf%20Ballroom%20Clear%20Lake%20Iowa%20photos</x:v>
      </x:c>
      <x:c r="M174" s="16" t="str">
        <x:v>https://www.google.com/search?q=Surf%20Ballroom%20Clear%20Lake%20Iowa%20wikipedia%20OR%20wikivoyage</x:v>
      </x:c>
      <x:c r="N174" s="16" t="str">
        <x:v>https://www.google.com/maps/search/?api=1&amp;query=Surf%20Ballroom%2C%20Clear%20Lake%2C%20Iowa</x:v>
      </x:c>
      <x:c r="O174" s="17" t="b">
        <x:v>1</x:v>
      </x:c>
      <x:c r="P174" s="16" t="b">
        <x:f>IFERROR(VLOOKUP(A174,States!$A$2:$B$18,2,FALSE),FALSE)</x:f>
        <x:v>1</x:v>
      </x:c>
      <x:c r="Q174" s="16" t="b">
        <x:f>AND(OR(O174=TRUE,O174="TRUE"),OR(P174=TRUE,P174="TRUE"))</x:f>
        <x:v>1</x:v>
      </x:c>
    </x:row>
    <x:row r="175">
      <x:c r="A175" s="16" t="str">
        <x:v>Iowa</x:v>
      </x:c>
      <x:c r="B175" s="16" t="str">
        <x:v>West Branch</x:v>
      </x:c>
      <x:c r="C175" s="16" t="n">
        <x:v>-91.346</x:v>
      </x:c>
      <x:c r="D175" s="16" t="n">
        <x:v>41.671</x:v>
      </x:c>
      <x:c r="E175" s="16" t="str">
        <x:v>Herbert Hoover National Historic Site</x:v>
      </x:c>
      <x:c r="F175" s="16" t="str">
        <x:v>History buffs, families</x:v>
      </x:c>
      <x:c r="G175" s="16" t="str">
        <x:v>Birthplace grounds and presidential library tell Hoover's life story.</x:v>
      </x:c>
      <x:c r="H175" s="16" t="str">
        <x:v>Historic Site</x:v>
      </x:c>
      <x:c r="I175" s="16" t="str">
        <x:v>https://www.google.com/search?q=Herbert%20Hoover%20National%20Historic%20Site%20West%20Branch%20Iowa%20official%20website</x:v>
      </x:c>
      <x:c r="J175" s="16" t="str">
        <x:v>https://www.google.com/search?q=site%3Atraveliowa.com%20Herbert%20Hoover%20National%20Historic%20Site</x:v>
      </x:c>
      <x:c r="K175" s="16" t="str">
        <x:v>https://www.google.com/search?q=Herbert%20Hoover%20National%20Historic%20Site%20West%20Branch%20Iowa%20visitor%20information</x:v>
      </x:c>
      <x:c r="L175" s="16" t="str">
        <x:v>https://www.google.com/search?q=Herbert%20Hoover%20National%20Historic%20Site%20West%20Branch%20Iowa%20photos</x:v>
      </x:c>
      <x:c r="M175" s="16" t="str">
        <x:v>https://www.google.com/search?q=Herbert%20Hoover%20National%20Historic%20Site%20West%20Branch%20Iowa%20wikipedia%20OR%20wikivoyage</x:v>
      </x:c>
      <x:c r="N175" s="16" t="str">
        <x:v>https://www.google.com/maps/search/?api=1&amp;query=Herbert%20Hoover%20National%20Historic%20Site%2C%20West%20Branch%2C%20Iowa</x:v>
      </x:c>
      <x:c r="O175" s="17" t="b">
        <x:v>1</x:v>
      </x:c>
      <x:c r="P175" s="16" t="b">
        <x:f>IFERROR(VLOOKUP(A175,States!$A$2:$B$18,2,FALSE),FALSE)</x:f>
        <x:v>1</x:v>
      </x:c>
      <x:c r="Q175" s="16" t="b">
        <x:f>AND(OR(O175=TRUE,O175="TRUE"),OR(P175=TRUE,P175="TRUE"))</x:f>
        <x:v>1</x:v>
      </x:c>
    </x:row>
    <x:row r="176">
      <x:c r="A176" s="16" t="str">
        <x:v>Iowa</x:v>
      </x:c>
      <x:c r="B176" s="16" t="str">
        <x:v>Council Bluffs</x:v>
      </x:c>
      <x:c r="C176" s="16" t="n">
        <x:v>-95.86</x:v>
      </x:c>
      <x:c r="D176" s="16" t="n">
        <x:v>41.5</x:v>
      </x:c>
      <x:c r="E176" s="16" t="str">
        <x:v>Loess Hills Scenic Byway</x:v>
      </x:c>
      <x:c r="F176" s="16" t="str">
        <x:v>Scenic drivers, hikers</x:v>
      </x:c>
      <x:c r="G176" s="16" t="str">
        <x:v>Wind-formed hills create an unusual western Iowa landscape.</x:v>
      </x:c>
      <x:c r="H176" s="16" t="str">
        <x:v>Scenic Drive</x:v>
      </x:c>
      <x:c r="I176" s="16" t="str">
        <x:v>https://www.google.com/search?q=Loess%20Hills%20Scenic%20Byway%20Council%20Bluffs%20Iowa%20official%20website</x:v>
      </x:c>
      <x:c r="J176" s="16" t="str">
        <x:v>https://www.google.com/search?q=site%3Atraveliowa.com%20Loess%20Hills%20Scenic%20Byway</x:v>
      </x:c>
      <x:c r="K176" s="16" t="str">
        <x:v>https://www.google.com/search?q=Loess%20Hills%20Scenic%20Byway%20Council%20Bluffs%20Iowa%20visitor%20information</x:v>
      </x:c>
      <x:c r="L176" s="16" t="str">
        <x:v>https://www.google.com/search?q=Loess%20Hills%20Scenic%20Byway%20Council%20Bluffs%20Iowa%20photos</x:v>
      </x:c>
      <x:c r="M176" s="16" t="str">
        <x:v>https://www.google.com/search?q=Loess%20Hills%20Scenic%20Byway%20Council%20Bluffs%20Iowa%20wikipedia%20OR%20wikivoyage</x:v>
      </x:c>
      <x:c r="N176" s="16" t="str">
        <x:v>https://www.google.com/maps/search/?api=1&amp;query=Loess%20Hills%20Scenic%20Byway%2C%20Council%20Bluffs%2C%20Iowa</x:v>
      </x:c>
      <x:c r="O176" s="17" t="b">
        <x:v>1</x:v>
      </x:c>
      <x:c r="P176" s="16" t="b">
        <x:f>IFERROR(VLOOKUP(A176,States!$A$2:$B$18,2,FALSE),FALSE)</x:f>
        <x:v>1</x:v>
      </x:c>
      <x:c r="Q176" s="16" t="b">
        <x:f>AND(OR(O176=TRUE,O176="TRUE"),OR(P176=TRUE,P176="TRUE"))</x:f>
        <x:v>1</x:v>
      </x:c>
    </x:row>
    <x:row r="177">
      <x:c r="A177" s="16" t="str">
        <x:v>Iowa</x:v>
      </x:c>
      <x:c r="B177" s="16" t="str">
        <x:v>Des Moines</x:v>
      </x:c>
      <x:c r="C177" s="16" t="n">
        <x:v>-93.681</x:v>
      </x:c>
      <x:c r="D177" s="16" t="n">
        <x:v>41.583</x:v>
      </x:c>
      <x:c r="E177" s="16" t="str">
        <x:v>Des Moines Art Center</x:v>
      </x:c>
      <x:c r="F177" s="16" t="str">
        <x:v>Art lovers, architecture fans</x:v>
      </x:c>
      <x:c r="G177" s="16" t="str">
        <x:v>Modern architecture and strong collections make a compact cultural stop.</x:v>
      </x:c>
      <x:c r="H177" s="16" t="str">
        <x:v>Museum</x:v>
      </x:c>
      <x:c r="I177" s="16" t="str">
        <x:v>https://www.google.com/search?q=Des%20Moines%20Art%20Center%20Des%20Moines%20Iowa%20official%20website</x:v>
      </x:c>
      <x:c r="J177" s="16" t="str">
        <x:v>https://www.google.com/search?q=site%3Atraveliowa.com%20Des%20Moines%20Art%20Center</x:v>
      </x:c>
      <x:c r="K177" s="16" t="str">
        <x:v>https://www.google.com/search?q=Des%20Moines%20Art%20Center%20Des%20Moines%20Iowa%20visitor%20information</x:v>
      </x:c>
      <x:c r="L177" s="16" t="str">
        <x:v>https://www.google.com/search?q=Des%20Moines%20Art%20Center%20Des%20Moines%20Iowa%20photos</x:v>
      </x:c>
      <x:c r="M177" s="16" t="str">
        <x:v>https://www.google.com/search?q=Des%20Moines%20Art%20Center%20Des%20Moines%20Iowa%20wikipedia%20OR%20wikivoyage</x:v>
      </x:c>
      <x:c r="N177" s="16" t="str">
        <x:v>https://www.google.com/maps/search/?api=1&amp;query=Des%20Moines%20Art%20Center%2C%20Des%20Moines%2C%20Iowa</x:v>
      </x:c>
      <x:c r="O177" s="17" t="b">
        <x:v>1</x:v>
      </x:c>
      <x:c r="P177" s="16" t="b">
        <x:f>IFERROR(VLOOKUP(A177,States!$A$2:$B$18,2,FALSE),FALSE)</x:f>
        <x:v>1</x:v>
      </x:c>
      <x:c r="Q177" s="16" t="b">
        <x:f>AND(OR(O177=TRUE,O177="TRUE"),OR(P177=TRUE,P177="TRUE"))</x:f>
        <x:v>1</x:v>
      </x:c>
    </x:row>
    <x:row r="178">
      <x:c r="A178" s="16" t="str">
        <x:v>Iowa</x:v>
      </x:c>
      <x:c r="B178" s="16" t="str">
        <x:v>Urbandale</x:v>
      </x:c>
      <x:c r="C178" s="16" t="n">
        <x:v>-93.768</x:v>
      </x:c>
      <x:c r="D178" s="16" t="n">
        <x:v>41.627</x:v>
      </x:c>
      <x:c r="E178" s="16" t="str">
        <x:v>Living History Farms</x:v>
      </x:c>
      <x:c r="F178" s="16" t="str">
        <x:v>Families, history travelers</x:v>
      </x:c>
      <x:c r="G178" s="16" t="str">
        <x:v>Working farm sites show Midwestern life across time.</x:v>
      </x:c>
      <x:c r="H178" s="16" t="str">
        <x:v>Living History</x:v>
      </x:c>
      <x:c r="I178" s="16" t="str">
        <x:v>https://www.google.com/search?q=Living%20History%20Farms%20Urbandale%20Iowa%20official%20website</x:v>
      </x:c>
      <x:c r="J178" s="16" t="str">
        <x:v>https://www.google.com/search?q=site%3Atraveliowa.com%20Living%20History%20Farms</x:v>
      </x:c>
      <x:c r="K178" s="16" t="str">
        <x:v>https://www.google.com/search?q=Living%20History%20Farms%20Urbandale%20Iowa%20visitor%20information</x:v>
      </x:c>
      <x:c r="L178" s="16" t="str">
        <x:v>https://www.google.com/search?q=Living%20History%20Farms%20Urbandale%20Iowa%20photos</x:v>
      </x:c>
      <x:c r="M178" s="16" t="str">
        <x:v>https://www.google.com/search?q=Living%20History%20Farms%20Urbandale%20Iowa%20wikipedia%20OR%20wikivoyage</x:v>
      </x:c>
      <x:c r="N178" s="16" t="str">
        <x:v>https://www.google.com/maps/search/?api=1&amp;query=Living%20History%20Farms%2C%20Urbandale%2C%20Iowa</x:v>
      </x:c>
      <x:c r="O178" s="17" t="b">
        <x:v>1</x:v>
      </x:c>
      <x:c r="P178" s="16" t="b">
        <x:f>IFERROR(VLOOKUP(A178,States!$A$2:$B$18,2,FALSE),FALSE)</x:f>
        <x:v>1</x:v>
      </x:c>
      <x:c r="Q178" s="16" t="b">
        <x:f>AND(OR(O178=TRUE,O178="TRUE"),OR(P178=TRUE,P178="TRUE"))</x:f>
        <x:v>1</x:v>
      </x:c>
    </x:row>
    <x:row r="179">
      <x:c r="A179" s="16" t="str">
        <x:v>Iowa</x:v>
      </x:c>
      <x:c r="B179" s="16" t="str">
        <x:v>Madrid</x:v>
      </x:c>
      <x:c r="C179" s="16" t="n">
        <x:v>-93.972</x:v>
      </x:c>
      <x:c r="D179" s="16" t="n">
        <x:v>41.878</x:v>
      </x:c>
      <x:c r="E179" s="16" t="str">
        <x:v>High Trestle Trail Bridge</x:v>
      </x:c>
      <x:c r="F179" s="16" t="str">
        <x:v>Cyclists, walkers, photographers</x:v>
      </x:c>
      <x:c r="G179" s="16" t="str">
        <x:v>A lit rail-trail bridge creates a dramatic evening stop.</x:v>
      </x:c>
      <x:c r="H179" s="16" t="str">
        <x:v>Trail</x:v>
      </x:c>
      <x:c r="I179" s="16" t="str">
        <x:v>https://www.google.com/search?q=High%20Trestle%20Trail%20Bridge%20Madrid%20Iowa%20official%20website</x:v>
      </x:c>
      <x:c r="J179" s="16" t="str">
        <x:v>https://www.google.com/search?q=site%3Atraveliowa.com%20High%20Trestle%20Trail%20Bridge</x:v>
      </x:c>
      <x:c r="K179" s="16" t="str">
        <x:v>https://www.google.com/search?q=High%20Trestle%20Trail%20Bridge%20Madrid%20Iowa%20visitor%20information</x:v>
      </x:c>
      <x:c r="L179" s="16" t="str">
        <x:v>https://www.google.com/search?q=High%20Trestle%20Trail%20Bridge%20Madrid%20Iowa%20photos</x:v>
      </x:c>
      <x:c r="M179" s="16" t="str">
        <x:v>https://www.google.com/search?q=High%20Trestle%20Trail%20Bridge%20Madrid%20Iowa%20wikipedia%20OR%20wikivoyage</x:v>
      </x:c>
      <x:c r="N179" s="16" t="str">
        <x:v>https://www.google.com/maps/search/?api=1&amp;query=High%20Trestle%20Trail%20Bridge%2C%20Madrid%2C%20Iowa</x:v>
      </x:c>
      <x:c r="O179" s="17" t="b">
        <x:v>1</x:v>
      </x:c>
      <x:c r="P179" s="16" t="b">
        <x:f>IFERROR(VLOOKUP(A179,States!$A$2:$B$18,2,FALSE),FALSE)</x:f>
        <x:v>1</x:v>
      </x:c>
      <x:c r="Q179" s="16" t="b">
        <x:f>AND(OR(O179=TRUE,O179="TRUE"),OR(P179=TRUE,P179="TRUE"))</x:f>
        <x:v>1</x:v>
      </x:c>
    </x:row>
    <x:row r="180">
      <x:c r="A180" s="16" t="str">
        <x:v>Iowa</x:v>
      </x:c>
      <x:c r="B180" s="16" t="str">
        <x:v>Dubuque</x:v>
      </x:c>
      <x:c r="C180" s="16" t="n">
        <x:v>-90.67</x:v>
      </x:c>
      <x:c r="D180" s="16" t="n">
        <x:v>42.501</x:v>
      </x:c>
      <x:c r="E180" s="16" t="str">
        <x:v>Fenelon Place Elevator</x:v>
      </x:c>
      <x:c r="F180" s="16" t="str">
        <x:v>Families, photographers</x:v>
      </x:c>
      <x:c r="G180" s="16" t="str">
        <x:v>A short funicular ride climbs to broad Mississippi River views.</x:v>
      </x:c>
      <x:c r="H180" s="16" t="str">
        <x:v>Landmark</x:v>
      </x:c>
      <x:c r="I180" s="16" t="str">
        <x:v>https://www.google.com/search?q=Fenelon%20Place%20Elevator%20Dubuque%20Iowa%20official%20website</x:v>
      </x:c>
      <x:c r="J180" s="16" t="str">
        <x:v>https://www.google.com/search?q=site%3Atraveliowa.com%20Fenelon%20Place%20Elevator</x:v>
      </x:c>
      <x:c r="K180" s="16" t="str">
        <x:v>https://www.google.com/search?q=Fenelon%20Place%20Elevator%20Dubuque%20Iowa%20visitor%20information</x:v>
      </x:c>
      <x:c r="L180" s="16" t="str">
        <x:v>https://www.google.com/search?q=Fenelon%20Place%20Elevator%20Dubuque%20Iowa%20photos</x:v>
      </x:c>
      <x:c r="M180" s="16" t="str">
        <x:v>https://www.google.com/search?q=Fenelon%20Place%20Elevator%20Dubuque%20Iowa%20wikipedia%20OR%20wikivoyage</x:v>
      </x:c>
      <x:c r="N180" s="16" t="str">
        <x:v>https://www.google.com/maps/search/?api=1&amp;query=Fenelon%20Place%20Elevator%2C%20Dubuque%2C%20Iowa</x:v>
      </x:c>
      <x:c r="O180" s="17" t="b">
        <x:v>1</x:v>
      </x:c>
      <x:c r="P180" s="16" t="b">
        <x:f>IFERROR(VLOOKUP(A180,States!$A$2:$B$18,2,FALSE),FALSE)</x:f>
        <x:v>1</x:v>
      </x:c>
      <x:c r="Q180" s="16" t="b">
        <x:f>AND(OR(O180=TRUE,O180="TRUE"),OR(P180=TRUE,P180="TRUE"))</x:f>
        <x:v>1</x:v>
      </x:c>
    </x:row>
    <x:row r="181">
      <x:c r="A181" s="16" t="str">
        <x:v>Iowa</x:v>
      </x:c>
      <x:c r="B181" s="16" t="str">
        <x:v>Arnolds Park</x:v>
      </x:c>
      <x:c r="C181" s="16" t="n">
        <x:v>-95.132</x:v>
      </x:c>
      <x:c r="D181" s="16" t="n">
        <x:v>43.368</x:v>
      </x:c>
      <x:c r="E181" s="16" t="str">
        <x:v>Iowa Great Lakes and Arnolds Park</x:v>
      </x:c>
      <x:c r="F181" s="16" t="str">
        <x:v>Families, lake travelers</x:v>
      </x:c>
      <x:c r="G181" s="16" t="str">
        <x:v>Classic lake resorts, rides, and beaches create a summer vacation feel.</x:v>
      </x:c>
      <x:c r="H181" s="16" t="str">
        <x:v>Waterfront</x:v>
      </x:c>
      <x:c r="I181" s="16" t="str">
        <x:v>https://www.google.com/search?q=Iowa%20Great%20Lakes%20and%20Arnolds%20Park%20Arnolds%20Park%20Iowa%20official%20website</x:v>
      </x:c>
      <x:c r="J181" s="16" t="str">
        <x:v>https://www.google.com/search?q=site%3Atraveliowa.com%20Iowa%20Great%20Lakes%20and%20Arnolds%20Park</x:v>
      </x:c>
      <x:c r="K181" s="16" t="str">
        <x:v>https://www.google.com/search?q=Iowa%20Great%20Lakes%20and%20Arnolds%20Park%20Arnolds%20Park%20Iowa%20visitor%20information</x:v>
      </x:c>
      <x:c r="L181" s="16" t="str">
        <x:v>https://www.google.com/search?q=Iowa%20Great%20Lakes%20and%20Arnolds%20Park%20Arnolds%20Park%20Iowa%20photos</x:v>
      </x:c>
      <x:c r="M181" s="16" t="str">
        <x:v>https://www.google.com/search?q=Iowa%20Great%20Lakes%20and%20Arnolds%20Park%20Arnolds%20Park%20Iowa%20wikipedia%20OR%20wikivoyage</x:v>
      </x:c>
      <x:c r="N181" s="16" t="str">
        <x:v>https://www.google.com/maps/search/?api=1&amp;query=Iowa%20Great%20Lakes%20and%20Arnolds%20Park%2C%20Arnolds%20Park%2C%20Iowa</x:v>
      </x:c>
      <x:c r="O181" s="17" t="b">
        <x:v>1</x:v>
      </x:c>
      <x:c r="P181" s="16" t="b">
        <x:f>IFERROR(VLOOKUP(A181,States!$A$2:$B$18,2,FALSE),FALSE)</x:f>
        <x:v>1</x:v>
      </x:c>
      <x:c r="Q181" s="16" t="b">
        <x:f>AND(OR(O181=TRUE,O181="TRUE"),OR(P181=TRUE,P181="TRUE"))</x:f>
        <x:v>1</x:v>
      </x:c>
    </x:row>
    <x:row r="182">
      <x:c r="A182" s="16" t="str">
        <x:v>North Dakota</x:v>
      </x:c>
      <x:c r="B182" s="16" t="str">
        <x:v>Medora</x:v>
      </x:c>
      <x:c r="C182" s="16" t="n">
        <x:v>-103.531</x:v>
      </x:c>
      <x:c r="D182" s="16" t="n">
        <x:v>46.979</x:v>
      </x:c>
      <x:c r="E182" s="16" t="str">
        <x:v>Theodore Roosevelt National Park South Unit</x:v>
      </x:c>
      <x:c r="F182" s="16" t="str">
        <x:v>Hikers, wildlife watchers, families</x:v>
      </x:c>
      <x:c r="G182" s="16" t="str">
        <x:v>Badlands scenery and bison viewing anchor western North Dakota.</x:v>
      </x:c>
      <x:c r="H182" s="16" t="str">
        <x:v>National Park</x:v>
      </x:c>
      <x:c r="I182" s="16" t="str">
        <x:v>https://www.google.com/search?q=Theodore%20Roosevelt%20National%20Park%20South%20Unit%20Medora%20North%20Dakota%20official%20website</x:v>
      </x:c>
      <x:c r="J182" s="16" t="str">
        <x:v>https://www.google.com/search?q=site%3Andtourism.com%20Theodore%20Roosevelt%20National%20Park%20South%20Unit</x:v>
      </x:c>
      <x:c r="K182" s="16" t="str">
        <x:v>https://www.google.com/search?q=Theodore%20Roosevelt%20National%20Park%20South%20Unit%20Medora%20North%20Dakota%20visitor%20information</x:v>
      </x:c>
      <x:c r="L182" s="16" t="str">
        <x:v>https://www.google.com/search?q=Theodore%20Roosevelt%20National%20Park%20South%20Unit%20Medora%20North%20Dakota%20photos</x:v>
      </x:c>
      <x:c r="M182" s="16" t="str">
        <x:v>https://www.google.com/search?q=site%3Anps.gov%20Theodore%20Roosevelt%20National%20Park%20South%20Unit</x:v>
      </x:c>
      <x:c r="N182" s="16" t="str">
        <x:v>https://www.google.com/maps/search/?api=1&amp;query=Theodore%20Roosevelt%20National%20Park%20South%20Unit%2C%20Medora%2C%20North%20Dakota</x:v>
      </x:c>
      <x:c r="O182" s="17" t="b">
        <x:v>1</x:v>
      </x:c>
      <x:c r="P182" s="16" t="b">
        <x:f>IFERROR(VLOOKUP(A182,States!$A$2:$B$18,2,FALSE),FALSE)</x:f>
        <x:v>1</x:v>
      </x:c>
      <x:c r="Q182" s="16" t="b">
        <x:f>AND(OR(O182=TRUE,O182="TRUE"),OR(P182=TRUE,P182="TRUE"))</x:f>
        <x:v>1</x:v>
      </x:c>
    </x:row>
    <x:row r="183">
      <x:c r="A183" s="16" t="str">
        <x:v>North Dakota</x:v>
      </x:c>
      <x:c r="B183" s="16" t="str">
        <x:v>Watford City</x:v>
      </x:c>
      <x:c r="C183" s="16" t="n">
        <x:v>-103.443</x:v>
      </x:c>
      <x:c r="D183" s="16" t="n">
        <x:v>47.594</x:v>
      </x:c>
      <x:c r="E183" s="16" t="str">
        <x:v>Theodore Roosevelt National Park North Unit</x:v>
      </x:c>
      <x:c r="F183" s="16" t="str">
        <x:v>Hikers, photographers, wildlife watchers</x:v>
      </x:c>
      <x:c r="G183" s="16" t="str">
        <x:v>Quieter badlands overlooks offer a rugged contrast to the South Unit.</x:v>
      </x:c>
      <x:c r="H183" s="16" t="str">
        <x:v>National Park</x:v>
      </x:c>
      <x:c r="I183" s="16" t="str">
        <x:v>https://www.google.com/search?q=Theodore%20Roosevelt%20National%20Park%20North%20Unit%20Watford%20City%20North%20Dakota%20official%20website</x:v>
      </x:c>
      <x:c r="J183" s="16" t="str">
        <x:v>https://www.google.com/search?q=site%3Andtourism.com%20Theodore%20Roosevelt%20National%20Park%20North%20Unit</x:v>
      </x:c>
      <x:c r="K183" s="16" t="str">
        <x:v>https://www.google.com/search?q=Theodore%20Roosevelt%20National%20Park%20North%20Unit%20Watford%20City%20North%20Dakota%20visitor%20information</x:v>
      </x:c>
      <x:c r="L183" s="16" t="str">
        <x:v>https://www.google.com/search?q=Theodore%20Roosevelt%20National%20Park%20North%20Unit%20Watford%20City%20North%20Dakota%20photos</x:v>
      </x:c>
      <x:c r="M183" s="16" t="str">
        <x:v>https://www.google.com/search?q=site%3Anps.gov%20Theodore%20Roosevelt%20National%20Park%20North%20Unit</x:v>
      </x:c>
      <x:c r="N183" s="16" t="str">
        <x:v>https://www.google.com/maps/search/?api=1&amp;query=Theodore%20Roosevelt%20National%20Park%20North%20Unit%2C%20Watford%20City%2C%20North%20Dakota</x:v>
      </x:c>
      <x:c r="O183" s="17" t="b">
        <x:v>1</x:v>
      </x:c>
      <x:c r="P183" s="16" t="b">
        <x:f>IFERROR(VLOOKUP(A183,States!$A$2:$B$18,2,FALSE),FALSE)</x:f>
        <x:v>1</x:v>
      </x:c>
      <x:c r="Q183" s="16" t="b">
        <x:f>AND(OR(O183=TRUE,O183="TRUE"),OR(P183=TRUE,P183="TRUE"))</x:f>
        <x:v>1</x:v>
      </x:c>
    </x:row>
    <x:row r="184">
      <x:c r="A184" s="16" t="str">
        <x:v>North Dakota</x:v>
      </x:c>
      <x:c r="B184" s="16" t="str">
        <x:v>Belfield</x:v>
      </x:c>
      <x:c r="C184" s="16" t="n">
        <x:v>-103.299</x:v>
      </x:c>
      <x:c r="D184" s="16" t="n">
        <x:v>46.896</x:v>
      </x:c>
      <x:c r="E184" s="16" t="str">
        <x:v>Painted Canyon Overlook</x:v>
      </x:c>
      <x:c r="F184" s="16" t="str">
        <x:v>Road trippers, photographers</x:v>
      </x:c>
      <x:c r="G184" s="16" t="str">
        <x:v>A quick interstate stop gives a broad badlands panorama.</x:v>
      </x:c>
      <x:c r="H184" s="16" t="str">
        <x:v>Scenic Overlook</x:v>
      </x:c>
      <x:c r="I184" s="16" t="str">
        <x:v>https://www.google.com/search?q=Painted%20Canyon%20Overlook%20Belfield%20North%20Dakota%20official%20website</x:v>
      </x:c>
      <x:c r="J184" s="16" t="str">
        <x:v>https://www.google.com/search?q=site%3Andtourism.com%20Painted%20Canyon%20Overlook</x:v>
      </x:c>
      <x:c r="K184" s="16" t="str">
        <x:v>https://www.google.com/search?q=Painted%20Canyon%20Overlook%20Belfield%20North%20Dakota%20visitor%20information</x:v>
      </x:c>
      <x:c r="L184" s="16" t="str">
        <x:v>https://www.google.com/search?q=Painted%20Canyon%20Overlook%20Belfield%20North%20Dakota%20photos</x:v>
      </x:c>
      <x:c r="M184" s="16" t="str">
        <x:v>https://www.google.com/search?q=Painted%20Canyon%20Overlook%20Belfield%20North%20Dakota%20wikipedia%20OR%20wikivoyage</x:v>
      </x:c>
      <x:c r="N184" s="16" t="str">
        <x:v>https://www.google.com/maps/search/?api=1&amp;query=Painted%20Canyon%20Overlook%2C%20Belfield%2C%20North%20Dakota</x:v>
      </x:c>
      <x:c r="O184" s="17" t="b">
        <x:v>1</x:v>
      </x:c>
      <x:c r="P184" s="16" t="b">
        <x:f>IFERROR(VLOOKUP(A184,States!$A$2:$B$18,2,FALSE),FALSE)</x:f>
        <x:v>1</x:v>
      </x:c>
      <x:c r="Q184" s="16" t="b">
        <x:f>AND(OR(O184=TRUE,O184="TRUE"),OR(P184=TRUE,P184="TRUE"))</x:f>
        <x:v>1</x:v>
      </x:c>
    </x:row>
    <x:row r="185">
      <x:c r="A185" s="16" t="str">
        <x:v>North Dakota</x:v>
      </x:c>
      <x:c r="B185" s="16" t="str">
        <x:v>Medora</x:v>
      </x:c>
      <x:c r="C185" s="16" t="n">
        <x:v>-103.528</x:v>
      </x:c>
      <x:c r="D185" s="16" t="n">
        <x:v>46.913</x:v>
      </x:c>
      <x:c r="E185" s="16" t="str">
        <x:v>Maah Daah Hey Trail</x:v>
      </x:c>
      <x:c r="F185" s="16" t="str">
        <x:v>Mountain bikers, hikers, adventurers</x:v>
      </x:c>
      <x:c r="G185" s="16" t="str">
        <x:v>A long backcountry trail links badlands, prairie, and public lands.</x:v>
      </x:c>
      <x:c r="H185" s="16" t="str">
        <x:v>Trail</x:v>
      </x:c>
      <x:c r="I185" s="16" t="str">
        <x:v>https://www.google.com/search?q=Maah%20Daah%20Hey%20Trail%20Medora%20North%20Dakota%20official%20website</x:v>
      </x:c>
      <x:c r="J185" s="16" t="str">
        <x:v>https://www.google.com/search?q=site%3Andtourism.com%20Maah%20Daah%20Hey%20Trail</x:v>
      </x:c>
      <x:c r="K185" s="16" t="str">
        <x:v>https://www.google.com/search?q=Maah%20Daah%20Hey%20Trail%20Medora%20North%20Dakota%20visitor%20information</x:v>
      </x:c>
      <x:c r="L185" s="16" t="str">
        <x:v>https://www.google.com/search?q=Maah%20Daah%20Hey%20Trail%20Medora%20North%20Dakota%20photos</x:v>
      </x:c>
      <x:c r="M185" s="16" t="str">
        <x:v>https://www.google.com/search?q=Maah%20Daah%20Hey%20Trail%20Medora%20North%20Dakota%20wikipedia%20OR%20wikivoyage</x:v>
      </x:c>
      <x:c r="N185" s="16" t="str">
        <x:v>https://www.google.com/maps/search/?api=1&amp;query=Maah%20Daah%20Hey%20Trail%2C%20Medora%2C%20North%20Dakota</x:v>
      </x:c>
      <x:c r="O185" s="17" t="b">
        <x:v>1</x:v>
      </x:c>
      <x:c r="P185" s="16" t="b">
        <x:f>IFERROR(VLOOKUP(A185,States!$A$2:$B$18,2,FALSE),FALSE)</x:f>
        <x:v>1</x:v>
      </x:c>
      <x:c r="Q185" s="16" t="b">
        <x:f>AND(OR(O185=TRUE,O185="TRUE"),OR(P185=TRUE,P185="TRUE"))</x:f>
        <x:v>1</x:v>
      </x:c>
    </x:row>
    <x:row r="186">
      <x:c r="A186" s="16" t="str">
        <x:v>North Dakota</x:v>
      </x:c>
      <x:c r="B186" s="16" t="str">
        <x:v>Medora</x:v>
      </x:c>
      <x:c r="C186" s="16" t="n">
        <x:v>-103.524</x:v>
      </x:c>
      <x:c r="D186" s="16" t="n">
        <x:v>46.914</x:v>
      </x:c>
      <x:c r="E186" s="16" t="str">
        <x:v>Medora Musical</x:v>
      </x:c>
      <x:c r="F186" s="16" t="str">
        <x:v>Families, road trippers</x:v>
      </x:c>
      <x:c r="G186" s="16" t="str">
        <x:v>An outdoor summer show packages western history with big-stage entertainment.</x:v>
      </x:c>
      <x:c r="H186" s="16" t="str">
        <x:v>Entertainment</x:v>
      </x:c>
      <x:c r="I186" s="16" t="str">
        <x:v>https://www.google.com/search?q=Medora%20Musical%20Medora%20North%20Dakota%20official%20website</x:v>
      </x:c>
      <x:c r="J186" s="16" t="str">
        <x:v>https://www.google.com/search?q=site%3Andtourism.com%20Medora%20Musical</x:v>
      </x:c>
      <x:c r="K186" s="16" t="str">
        <x:v>https://www.google.com/search?q=Medora%20Musical%20Medora%20North%20Dakota%20visitor%20information</x:v>
      </x:c>
      <x:c r="L186" s="16" t="str">
        <x:v>https://www.google.com/search?q=Medora%20Musical%20Medora%20North%20Dakota%20photos</x:v>
      </x:c>
      <x:c r="M186" s="16" t="str">
        <x:v>https://www.google.com/search?q=Medora%20Musical%20Medora%20North%20Dakota%20wikipedia%20OR%20wikivoyage</x:v>
      </x:c>
      <x:c r="N186" s="16" t="str">
        <x:v>https://www.google.com/maps/search/?api=1&amp;query=Medora%20Musical%2C%20Medora%2C%20North%20Dakota</x:v>
      </x:c>
      <x:c r="O186" s="17" t="b">
        <x:v>1</x:v>
      </x:c>
      <x:c r="P186" s="16" t="b">
        <x:f>IFERROR(VLOOKUP(A186,States!$A$2:$B$18,2,FALSE),FALSE)</x:f>
        <x:v>1</x:v>
      </x:c>
      <x:c r="Q186" s="16" t="b">
        <x:f>AND(OR(O186=TRUE,O186="TRUE"),OR(P186=TRUE,P186="TRUE"))</x:f>
        <x:v>1</x:v>
      </x:c>
    </x:row>
    <x:row r="187">
      <x:c r="A187" s="16" t="str">
        <x:v>North Dakota</x:v>
      </x:c>
      <x:c r="B187" s="16" t="str">
        <x:v>Bismarck</x:v>
      </x:c>
      <x:c r="C187" s="16" t="n">
        <x:v>-100.782</x:v>
      </x:c>
      <x:c r="D187" s="16" t="n">
        <x:v>46.821</x:v>
      </x:c>
      <x:c r="E187" s="16" t="str">
        <x:v>North Dakota Heritage Center and State Museum</x:v>
      </x:c>
      <x:c r="F187" s="16" t="str">
        <x:v>Families, history fans</x:v>
      </x:c>
      <x:c r="G187" s="16" t="str">
        <x:v>Dinosaurs, Indigenous history, and state stories fill modern galleries.</x:v>
      </x:c>
      <x:c r="H187" s="16" t="str">
        <x:v>Museum</x:v>
      </x:c>
      <x:c r="I187" s="16" t="str">
        <x:v>https://www.google.com/search?q=North%20Dakota%20Heritage%20Center%20and%20State%20Museum%20Bismarck%20North%20Dakota%20official%20website</x:v>
      </x:c>
      <x:c r="J187" s="16" t="str">
        <x:v>https://www.google.com/search?q=site%3Andtourism.com%20North%20Dakota%20Heritage%20Center%20and%20State%20Museum</x:v>
      </x:c>
      <x:c r="K187" s="16" t="str">
        <x:v>https://www.google.com/search?q=North%20Dakota%20Heritage%20Center%20and%20State%20Museum%20Bismarck%20North%20Dakota%20visitor%20information</x:v>
      </x:c>
      <x:c r="L187" s="16" t="str">
        <x:v>https://www.google.com/search?q=North%20Dakota%20Heritage%20Center%20and%20State%20Museum%20Bismarck%20North%20Dakota%20photos</x:v>
      </x:c>
      <x:c r="M187" s="16" t="str">
        <x:v>https://www.google.com/search?q=North%20Dakota%20Heritage%20Center%20and%20State%20Museum%20Bismarck%20North%20Dakota%20wikipedia%20OR%20wikivoyage</x:v>
      </x:c>
      <x:c r="N187" s="16" t="str">
        <x:v>https://www.google.com/maps/search/?api=1&amp;query=North%20Dakota%20Heritage%20Center%20and%20State%20Museum%2C%20Bismarck%2C%20North%20Dakota</x:v>
      </x:c>
      <x:c r="O187" s="17" t="b">
        <x:v>1</x:v>
      </x:c>
      <x:c r="P187" s="16" t="b">
        <x:f>IFERROR(VLOOKUP(A187,States!$A$2:$B$18,2,FALSE),FALSE)</x:f>
        <x:v>1</x:v>
      </x:c>
      <x:c r="Q187" s="16" t="b">
        <x:f>AND(OR(O187=TRUE,O187="TRUE"),OR(P187=TRUE,P187="TRUE"))</x:f>
        <x:v>1</x:v>
      </x:c>
    </x:row>
    <x:row r="188">
      <x:c r="A188" s="16" t="str">
        <x:v>North Dakota</x:v>
      </x:c>
      <x:c r="B188" s="16" t="str">
        <x:v>Mandan</x:v>
      </x:c>
      <x:c r="C188" s="16" t="n">
        <x:v>-100.889</x:v>
      </x:c>
      <x:c r="D188" s="16" t="n">
        <x:v>46.762</x:v>
      </x:c>
      <x:c r="E188" s="16" t="str">
        <x:v>Fort Abraham Lincoln State Park</x:v>
      </x:c>
      <x:c r="F188" s="16" t="str">
        <x:v>History travelers, families</x:v>
      </x:c>
      <x:c r="G188" s="16" t="str">
        <x:v>Reconstructed earthlodges and military buildings interpret layered frontier history.</x:v>
      </x:c>
      <x:c r="H188" s="16" t="str">
        <x:v>Historic Site</x:v>
      </x:c>
      <x:c r="I188" s="16" t="str">
        <x:v>https://www.google.com/search?q=Fort%20Abraham%20Lincoln%20State%20Park%20Mandan%20North%20Dakota%20official%20website</x:v>
      </x:c>
      <x:c r="J188" s="16" t="str">
        <x:v>https://www.google.com/search?q=site%3Andtourism.com%20Fort%20Abraham%20Lincoln%20State%20Park</x:v>
      </x:c>
      <x:c r="K188" s="16" t="str">
        <x:v>https://www.google.com/search?q=Fort%20Abraham%20Lincoln%20State%20Park%20Mandan%20North%20Dakota%20visitor%20information</x:v>
      </x:c>
      <x:c r="L188" s="16" t="str">
        <x:v>https://www.google.com/search?q=Fort%20Abraham%20Lincoln%20State%20Park%20Mandan%20North%20Dakota%20photos</x:v>
      </x:c>
      <x:c r="M188" s="16" t="str">
        <x:v>https://www.google.com/search?q=Fort%20Abraham%20Lincoln%20State%20Park%20Mandan%20North%20Dakota%20wikipedia%20OR%20wikivoyage</x:v>
      </x:c>
      <x:c r="N188" s="16" t="str">
        <x:v>https://www.google.com/maps/search/?api=1&amp;query=Fort%20Abraham%20Lincoln%20State%20Park%2C%20Mandan%2C%20North%20Dakota</x:v>
      </x:c>
      <x:c r="O188" s="17" t="b">
        <x:v>1</x:v>
      </x:c>
      <x:c r="P188" s="16" t="b">
        <x:f>IFERROR(VLOOKUP(A188,States!$A$2:$B$18,2,FALSE),FALSE)</x:f>
        <x:v>1</x:v>
      </x:c>
      <x:c r="Q188" s="16" t="b">
        <x:f>AND(OR(O188=TRUE,O188="TRUE"),OR(P188=TRUE,P188="TRUE"))</x:f>
        <x:v>1</x:v>
      </x:c>
    </x:row>
    <x:row r="189">
      <x:c r="A189" s="16" t="str">
        <x:v>North Dakota</x:v>
      </x:c>
      <x:c r="B189" s="16" t="str">
        <x:v>Stanton</x:v>
      </x:c>
      <x:c r="C189" s="16" t="n">
        <x:v>-101.385</x:v>
      </x:c>
      <x:c r="D189" s="16" t="n">
        <x:v>47.354</x:v>
      </x:c>
      <x:c r="E189" s="16" t="str">
        <x:v>Knife River Indian Villages National Historic Site</x:v>
      </x:c>
      <x:c r="F189" s="16" t="str">
        <x:v>History travelers, students</x:v>
      </x:c>
      <x:c r="G189" s="16" t="str">
        <x:v>Village sites and earthlodge exhibits share Hidatsa and Mandan history.</x:v>
      </x:c>
      <x:c r="H189" s="16" t="str">
        <x:v>Historic Site</x:v>
      </x:c>
      <x:c r="I189" s="16" t="str">
        <x:v>https://www.google.com/search?q=Knife%20River%20Indian%20Villages%20National%20Historic%20Site%20Stanton%20North%20Dakota%20official%20website</x:v>
      </x:c>
      <x:c r="J189" s="16" t="str">
        <x:v>https://www.google.com/search?q=site%3Andtourism.com%20Knife%20River%20Indian%20Villages%20National%20Historic%20Site</x:v>
      </x:c>
      <x:c r="K189" s="16" t="str">
        <x:v>https://www.google.com/search?q=Knife%20River%20Indian%20Villages%20National%20Historic%20Site%20Stanton%20North%20Dakota%20visitor%20information</x:v>
      </x:c>
      <x:c r="L189" s="16" t="str">
        <x:v>https://www.google.com/search?q=Knife%20River%20Indian%20Villages%20National%20Historic%20Site%20Stanton%20North%20Dakota%20photos</x:v>
      </x:c>
      <x:c r="M189" s="16" t="str">
        <x:v>https://www.google.com/search?q=Knife%20River%20Indian%20Villages%20National%20Historic%20Site%20Stanton%20North%20Dakota%20wikipedia%20OR%20wikivoyage</x:v>
      </x:c>
      <x:c r="N189" s="16" t="str">
        <x:v>https://www.google.com/maps/search/?api=1&amp;query=Knife%20River%20Indian%20Villages%20National%20Historic%20Site%2C%20Stanton%2C%20North%20Dakota</x:v>
      </x:c>
      <x:c r="O189" s="17" t="b">
        <x:v>1</x:v>
      </x:c>
      <x:c r="P189" s="16" t="b">
        <x:f>IFERROR(VLOOKUP(A189,States!$A$2:$B$18,2,FALSE),FALSE)</x:f>
        <x:v>1</x:v>
      </x:c>
      <x:c r="Q189" s="16" t="b">
        <x:f>AND(OR(O189=TRUE,O189="TRUE"),OR(P189=TRUE,P189="TRUE"))</x:f>
        <x:v>1</x:v>
      </x:c>
    </x:row>
    <x:row r="190">
      <x:c r="A190" s="16" t="str">
        <x:v>North Dakota</x:v>
      </x:c>
      <x:c r="B190" s="16" t="str">
        <x:v>Dunseith</x:v>
      </x:c>
      <x:c r="C190" s="16" t="n">
        <x:v>-100.06</x:v>
      </x:c>
      <x:c r="D190" s="16" t="n">
        <x:v>48.999</x:v>
      </x:c>
      <x:c r="E190" s="16" t="str">
        <x:v>International Peace Garden</x:v>
      </x:c>
      <x:c r="F190" s="16" t="str">
        <x:v>Garden lovers, cross-border travelers</x:v>
      </x:c>
      <x:c r="G190" s="16" t="str">
        <x:v>Formal gardens celebrate friendship on the U.S.-Canada border.</x:v>
      </x:c>
      <x:c r="H190" s="16" t="str">
        <x:v>Garden</x:v>
      </x:c>
      <x:c r="I190" s="16" t="str">
        <x:v>https://www.google.com/search?q=International%20Peace%20Garden%20Dunseith%20North%20Dakota%20official%20website</x:v>
      </x:c>
      <x:c r="J190" s="16" t="str">
        <x:v>https://www.google.com/search?q=site%3Andtourism.com%20International%20Peace%20Garden</x:v>
      </x:c>
      <x:c r="K190" s="16" t="str">
        <x:v>https://www.google.com/search?q=International%20Peace%20Garden%20Dunseith%20North%20Dakota%20visitor%20information</x:v>
      </x:c>
      <x:c r="L190" s="16" t="str">
        <x:v>https://www.google.com/search?q=International%20Peace%20Garden%20Dunseith%20North%20Dakota%20photos</x:v>
      </x:c>
      <x:c r="M190" s="16" t="str">
        <x:v>https://www.google.com/search?q=International%20Peace%20Garden%20Dunseith%20North%20Dakota%20wikipedia%20OR%20wikivoyage</x:v>
      </x:c>
      <x:c r="N190" s="16" t="str">
        <x:v>https://www.google.com/maps/search/?api=1&amp;query=International%20Peace%20Garden%2C%20Dunseith%2C%20North%20Dakota</x:v>
      </x:c>
      <x:c r="O190" s="17" t="b">
        <x:v>1</x:v>
      </x:c>
      <x:c r="P190" s="16" t="b">
        <x:f>IFERROR(VLOOKUP(A190,States!$A$2:$B$18,2,FALSE),FALSE)</x:f>
        <x:v>1</x:v>
      </x:c>
      <x:c r="Q190" s="16" t="b">
        <x:f>AND(OR(O190=TRUE,O190="TRUE"),OR(P190=TRUE,P190="TRUE"))</x:f>
        <x:v>1</x:v>
      </x:c>
    </x:row>
    <x:row r="191">
      <x:c r="A191" s="16" t="str">
        <x:v>North Dakota</x:v>
      </x:c>
      <x:c r="B191" s="16" t="str">
        <x:v>Minot</x:v>
      </x:c>
      <x:c r="C191" s="16" t="n">
        <x:v>-101.297</x:v>
      </x:c>
      <x:c r="D191" s="16" t="n">
        <x:v>48.234</x:v>
      </x:c>
      <x:c r="E191" s="16" t="str">
        <x:v>Scandinavian Heritage Park</x:v>
      </x:c>
      <x:c r="F191" s="16" t="str">
        <x:v>Families, heritage travelers</x:v>
      </x:c>
      <x:c r="G191" s="16" t="str">
        <x:v>Nordic architecture and monuments reflect regional immigrant culture.</x:v>
      </x:c>
      <x:c r="H191" s="16" t="str">
        <x:v>Cultural Site</x:v>
      </x:c>
      <x:c r="I191" s="16" t="str">
        <x:v>https://www.google.com/search?q=Scandinavian%20Heritage%20Park%20Minot%20North%20Dakota%20official%20website</x:v>
      </x:c>
      <x:c r="J191" s="16" t="str">
        <x:v>https://www.google.com/search?q=site%3Andtourism.com%20Scandinavian%20Heritage%20Park</x:v>
      </x:c>
      <x:c r="K191" s="16" t="str">
        <x:v>https://www.google.com/search?q=Scandinavian%20Heritage%20Park%20Minot%20North%20Dakota%20visitor%20information</x:v>
      </x:c>
      <x:c r="L191" s="16" t="str">
        <x:v>https://www.google.com/search?q=Scandinavian%20Heritage%20Park%20Minot%20North%20Dakota%20photos</x:v>
      </x:c>
      <x:c r="M191" s="16" t="str">
        <x:v>https://www.google.com/search?q=Scandinavian%20Heritage%20Park%20Minot%20North%20Dakota%20wikipedia%20OR%20wikivoyage</x:v>
      </x:c>
      <x:c r="N191" s="16" t="str">
        <x:v>https://www.google.com/maps/search/?api=1&amp;query=Scandinavian%20Heritage%20Park%2C%20Minot%2C%20North%20Dakota</x:v>
      </x:c>
      <x:c r="O191" s="17" t="b">
        <x:v>1</x:v>
      </x:c>
      <x:c r="P191" s="16" t="b">
        <x:f>IFERROR(VLOOKUP(A191,States!$A$2:$B$18,2,FALSE),FALSE)</x:f>
        <x:v>1</x:v>
      </x:c>
      <x:c r="Q191" s="16" t="b">
        <x:f>AND(OR(O191=TRUE,O191="TRUE"),OR(P191=TRUE,P191="TRUE"))</x:f>
        <x:v>1</x:v>
      </x:c>
    </x:row>
    <x:row r="192">
      <x:c r="A192" s="16" t="str">
        <x:v>North Dakota</x:v>
      </x:c>
      <x:c r="B192" s="16" t="str">
        <x:v>Regent</x:v>
      </x:c>
      <x:c r="C192" s="16" t="n">
        <x:v>-102.56</x:v>
      </x:c>
      <x:c r="D192" s="16" t="n">
        <x:v>46.421</x:v>
      </x:c>
      <x:c r="E192" s="16" t="str">
        <x:v>Enchanted Highway</x:v>
      </x:c>
      <x:c r="F192" s="16" t="str">
        <x:v>Road trippers, photographers</x:v>
      </x:c>
      <x:c r="G192" s="16" t="str">
        <x:v>Giant metal sculptures turn prairie highway miles into roadside theater.</x:v>
      </x:c>
      <x:c r="H192" s="16" t="str">
        <x:v>Roadside</x:v>
      </x:c>
      <x:c r="I192" s="16" t="str">
        <x:v>https://www.google.com/search?q=Enchanted%20Highway%20Regent%20North%20Dakota%20official%20website</x:v>
      </x:c>
      <x:c r="J192" s="16" t="str">
        <x:v>https://www.google.com/search?q=site%3Andtourism.com%20Enchanted%20Highway</x:v>
      </x:c>
      <x:c r="K192" s="16" t="str">
        <x:v>https://www.google.com/search?q=Enchanted%20Highway%20Regent%20North%20Dakota%20visitor%20information</x:v>
      </x:c>
      <x:c r="L192" s="16" t="str">
        <x:v>https://www.google.com/search?q=Enchanted%20Highway%20Regent%20North%20Dakota%20photos</x:v>
      </x:c>
      <x:c r="M192" s="16" t="str">
        <x:v>https://www.google.com/search?q=Enchanted%20Highway%20Regent%20North%20Dakota%20wikipedia%20OR%20wikivoyage</x:v>
      </x:c>
      <x:c r="N192" s="16" t="str">
        <x:v>https://www.google.com/maps/search/?api=1&amp;query=Enchanted%20Highway%2C%20Regent%2C%20North%20Dakota</x:v>
      </x:c>
      <x:c r="O192" s="17" t="b">
        <x:v>1</x:v>
      </x:c>
      <x:c r="P192" s="16" t="b">
        <x:f>IFERROR(VLOOKUP(A192,States!$A$2:$B$18,2,FALSE),FALSE)</x:f>
        <x:v>1</x:v>
      </x:c>
      <x:c r="Q192" s="16" t="b">
        <x:f>AND(OR(O192=TRUE,O192="TRUE"),OR(P192=TRUE,P192="TRUE"))</x:f>
        <x:v>1</x:v>
      </x:c>
    </x:row>
    <x:row r="193">
      <x:c r="A193" s="16" t="str">
        <x:v>North Dakota</x:v>
      </x:c>
      <x:c r="B193" s="16" t="str">
        <x:v>Fargo</x:v>
      </x:c>
      <x:c r="C193" s="16" t="n">
        <x:v>-96.814</x:v>
      </x:c>
      <x:c r="D193" s="16" t="n">
        <x:v>46.9</x:v>
      </x:c>
      <x:c r="E193" s="16" t="str">
        <x:v>Fargo Air Museum</x:v>
      </x:c>
      <x:c r="F193" s="16" t="str">
        <x:v>Aviation fans, families</x:v>
      </x:c>
      <x:c r="G193" s="16" t="str">
        <x:v>Aircraft displays and flying history make a compact museum stop.</x:v>
      </x:c>
      <x:c r="H193" s="16" t="str">
        <x:v>Museum</x:v>
      </x:c>
      <x:c r="I193" s="16" t="str">
        <x:v>https://www.google.com/search?q=Fargo%20Air%20Museum%20Fargo%20North%20Dakota%20official%20website</x:v>
      </x:c>
      <x:c r="J193" s="16" t="str">
        <x:v>https://www.google.com/search?q=site%3Andtourism.com%20Fargo%20Air%20Museum</x:v>
      </x:c>
      <x:c r="K193" s="16" t="str">
        <x:v>https://www.google.com/search?q=Fargo%20Air%20Museum%20Fargo%20North%20Dakota%20visitor%20information</x:v>
      </x:c>
      <x:c r="L193" s="16" t="str">
        <x:v>https://www.google.com/search?q=Fargo%20Air%20Museum%20Fargo%20North%20Dakota%20photos</x:v>
      </x:c>
      <x:c r="M193" s="16" t="str">
        <x:v>https://www.google.com/search?q=Fargo%20Air%20Museum%20Fargo%20North%20Dakota%20wikipedia%20OR%20wikivoyage</x:v>
      </x:c>
      <x:c r="N193" s="16" t="str">
        <x:v>https://www.google.com/maps/search/?api=1&amp;query=Fargo%20Air%20Museum%2C%20Fargo%2C%20North%20Dakota</x:v>
      </x:c>
      <x:c r="O193" s="17" t="b">
        <x:v>1</x:v>
      </x:c>
      <x:c r="P193" s="16" t="b">
        <x:f>IFERROR(VLOOKUP(A193,States!$A$2:$B$18,2,FALSE),FALSE)</x:f>
        <x:v>1</x:v>
      </x:c>
      <x:c r="Q193" s="16" t="b">
        <x:f>AND(OR(O193=TRUE,O193="TRUE"),OR(P193=TRUE,P193="TRUE"))</x:f>
        <x:v>1</x:v>
      </x:c>
    </x:row>
    <x:row r="194">
      <x:c r="A194" s="16" t="str">
        <x:v>North Dakota</x:v>
      </x:c>
      <x:c r="B194" s="16" t="str">
        <x:v>Fargo</x:v>
      </x:c>
      <x:c r="C194" s="16" t="n">
        <x:v>-96.789</x:v>
      </x:c>
      <x:c r="D194" s="16" t="n">
        <x:v>46.877</x:v>
      </x:c>
      <x:c r="E194" s="16" t="str">
        <x:v>Plains Art Museum</x:v>
      </x:c>
      <x:c r="F194" s="16" t="str">
        <x:v>Art lovers, city explorers</x:v>
      </x:c>
      <x:c r="G194" s="16" t="str">
        <x:v>Regional and contemporary art add a cultural pause in downtown Fargo.</x:v>
      </x:c>
      <x:c r="H194" s="16" t="str">
        <x:v>Museum</x:v>
      </x:c>
      <x:c r="I194" s="16" t="str">
        <x:v>https://www.google.com/search?q=Plains%20Art%20Museum%20Fargo%20North%20Dakota%20official%20website</x:v>
      </x:c>
      <x:c r="J194" s="16" t="str">
        <x:v>https://www.google.com/search?q=site%3Andtourism.com%20Plains%20Art%20Museum</x:v>
      </x:c>
      <x:c r="K194" s="16" t="str">
        <x:v>https://www.google.com/search?q=Plains%20Art%20Museum%20Fargo%20North%20Dakota%20visitor%20information</x:v>
      </x:c>
      <x:c r="L194" s="16" t="str">
        <x:v>https://www.google.com/search?q=Plains%20Art%20Museum%20Fargo%20North%20Dakota%20photos</x:v>
      </x:c>
      <x:c r="M194" s="16" t="str">
        <x:v>https://www.google.com/search?q=Plains%20Art%20Museum%20Fargo%20North%20Dakota%20wikipedia%20OR%20wikivoyage</x:v>
      </x:c>
      <x:c r="N194" s="16" t="str">
        <x:v>https://www.google.com/maps/search/?api=1&amp;query=Plains%20Art%20Museum%2C%20Fargo%2C%20North%20Dakota</x:v>
      </x:c>
      <x:c r="O194" s="17" t="b">
        <x:v>1</x:v>
      </x:c>
      <x:c r="P194" s="16" t="b">
        <x:f>IFERROR(VLOOKUP(A194,States!$A$2:$B$18,2,FALSE),FALSE)</x:f>
        <x:v>1</x:v>
      </x:c>
      <x:c r="Q194" s="16" t="b">
        <x:f>AND(OR(O194=TRUE,O194="TRUE"),OR(P194=TRUE,P194="TRUE"))</x:f>
        <x:v>1</x:v>
      </x:c>
    </x:row>
    <x:row r="195">
      <x:c r="A195" s="16" t="str">
        <x:v>North Dakota</x:v>
      </x:c>
      <x:c r="B195" s="16" t="str">
        <x:v>West Fargo</x:v>
      </x:c>
      <x:c r="C195" s="16" t="n">
        <x:v>-96.9</x:v>
      </x:c>
      <x:c r="D195" s="16" t="n">
        <x:v>46.877</x:v>
      </x:c>
      <x:c r="E195" s="16" t="str">
        <x:v>Bonanzaville USA</x:v>
      </x:c>
      <x:c r="F195" s="16" t="str">
        <x:v>Families, history travelers</x:v>
      </x:c>
      <x:c r="G195" s="16" t="str">
        <x:v>Historic buildings and artifacts recreate prairie settlement life.</x:v>
      </x:c>
      <x:c r="H195" s="16" t="str">
        <x:v>Living History</x:v>
      </x:c>
      <x:c r="I195" s="16" t="str">
        <x:v>https://www.google.com/search?q=Bonanzaville%20USA%20West%20Fargo%20North%20Dakota%20official%20website</x:v>
      </x:c>
      <x:c r="J195" s="16" t="str">
        <x:v>https://www.google.com/search?q=site%3Andtourism.com%20Bonanzaville%20USA</x:v>
      </x:c>
      <x:c r="K195" s="16" t="str">
        <x:v>https://www.google.com/search?q=Bonanzaville%20USA%20West%20Fargo%20North%20Dakota%20visitor%20information</x:v>
      </x:c>
      <x:c r="L195" s="16" t="str">
        <x:v>https://www.google.com/search?q=Bonanzaville%20USA%20West%20Fargo%20North%20Dakota%20photos</x:v>
      </x:c>
      <x:c r="M195" s="16" t="str">
        <x:v>https://www.google.com/search?q=Bonanzaville%20USA%20West%20Fargo%20North%20Dakota%20wikipedia%20OR%20wikivoyage</x:v>
      </x:c>
      <x:c r="N195" s="16" t="str">
        <x:v>https://www.google.com/maps/search/?api=1&amp;query=Bonanzaville%20USA%2C%20West%20Fargo%2C%20North%20Dakota</x:v>
      </x:c>
      <x:c r="O195" s="17" t="b">
        <x:v>1</x:v>
      </x:c>
      <x:c r="P195" s="16" t="b">
        <x:f>IFERROR(VLOOKUP(A195,States!$A$2:$B$18,2,FALSE),FALSE)</x:f>
        <x:v>1</x:v>
      </x:c>
      <x:c r="Q195" s="16" t="b">
        <x:f>AND(OR(O195=TRUE,O195="TRUE"),OR(P195=TRUE,P195="TRUE"))</x:f>
        <x:v>1</x:v>
      </x:c>
    </x:row>
    <x:row r="196">
      <x:c r="A196" s="16" t="str">
        <x:v>North Dakota</x:v>
      </x:c>
      <x:c r="B196" s="16" t="str">
        <x:v>Williston</x:v>
      </x:c>
      <x:c r="C196" s="16" t="n">
        <x:v>-104.039</x:v>
      </x:c>
      <x:c r="D196" s="16" t="n">
        <x:v>48.001</x:v>
      </x:c>
      <x:c r="E196" s="16" t="str">
        <x:v>Fort Union Trading Post National Historic Site</x:v>
      </x:c>
      <x:c r="F196" s="16" t="str">
        <x:v>History buffs, families</x:v>
      </x:c>
      <x:c r="G196" s="16" t="str">
        <x:v>A reconstructed fur trade post interprets Plains commerce and diplomacy.</x:v>
      </x:c>
      <x:c r="H196" s="16" t="str">
        <x:v>Historic Site</x:v>
      </x:c>
      <x:c r="I196" s="16" t="str">
        <x:v>https://www.google.com/search?q=Fort%20Union%20Trading%20Post%20National%20Historic%20Site%20Williston%20North%20Dakota%20official%20website</x:v>
      </x:c>
      <x:c r="J196" s="16" t="str">
        <x:v>https://www.google.com/search?q=site%3Andtourism.com%20Fort%20Union%20Trading%20Post%20National%20Historic%20Site</x:v>
      </x:c>
      <x:c r="K196" s="16" t="str">
        <x:v>https://www.google.com/search?q=Fort%20Union%20Trading%20Post%20National%20Historic%20Site%20Williston%20North%20Dakota%20visitor%20information</x:v>
      </x:c>
      <x:c r="L196" s="16" t="str">
        <x:v>https://www.google.com/search?q=Fort%20Union%20Trading%20Post%20National%20Historic%20Site%20Williston%20North%20Dakota%20photos</x:v>
      </x:c>
      <x:c r="M196" s="16" t="str">
        <x:v>https://www.google.com/search?q=Fort%20Union%20Trading%20Post%20National%20Historic%20Site%20Williston%20North%20Dakota%20wikipedia%20OR%20wikivoyage</x:v>
      </x:c>
      <x:c r="N196" s="16" t="str">
        <x:v>https://www.google.com/maps/search/?api=1&amp;query=Fort%20Union%20Trading%20Post%20National%20Historic%20Site%2C%20Williston%2C%20North%20Dakota</x:v>
      </x:c>
      <x:c r="O196" s="17" t="b">
        <x:v>1</x:v>
      </x:c>
      <x:c r="P196" s="16" t="b">
        <x:f>IFERROR(VLOOKUP(A196,States!$A$2:$B$18,2,FALSE),FALSE)</x:f>
        <x:v>1</x:v>
      </x:c>
      <x:c r="Q196" s="16" t="b">
        <x:f>AND(OR(O196=TRUE,O196="TRUE"),OR(P196=TRUE,P196="TRUE"))</x:f>
        <x:v>1</x:v>
      </x:c>
    </x:row>
    <x:row r="197">
      <x:c r="A197" s="16" t="str">
        <x:v>North Dakota</x:v>
      </x:c>
      <x:c r="B197" s="16" t="str">
        <x:v>Walhalla</x:v>
      </x:c>
      <x:c r="C197" s="16" t="n">
        <x:v>-98.06</x:v>
      </x:c>
      <x:c r="D197" s="16" t="n">
        <x:v>48.906</x:v>
      </x:c>
      <x:c r="E197" s="16" t="str">
        <x:v>Pembina Gorge State Recreation Area</x:v>
      </x:c>
      <x:c r="F197" s="16" t="str">
        <x:v>Hikers, mountain bikers, fall-color seekers</x:v>
      </x:c>
      <x:c r="G197" s="16" t="str">
        <x:v>Wooded hills and trails break the state's open-prairie stereotype.</x:v>
      </x:c>
      <x:c r="H197" s="16" t="str">
        <x:v>Nature</x:v>
      </x:c>
      <x:c r="I197" s="16" t="str">
        <x:v>https://www.google.com/search?q=Pembina%20Gorge%20State%20Recreation%20Area%20Walhalla%20North%20Dakota%20official%20website</x:v>
      </x:c>
      <x:c r="J197" s="16" t="str">
        <x:v>https://www.google.com/search?q=site%3Andtourism.com%20Pembina%20Gorge%20State%20Recreation%20Area</x:v>
      </x:c>
      <x:c r="K197" s="16" t="str">
        <x:v>https://www.google.com/search?q=Pembina%20Gorge%20State%20Recreation%20Area%20Walhalla%20North%20Dakota%20visitor%20information</x:v>
      </x:c>
      <x:c r="L197" s="16" t="str">
        <x:v>https://www.google.com/search?q=Pembina%20Gorge%20State%20Recreation%20Area%20Walhalla%20North%20Dakota%20photos</x:v>
      </x:c>
      <x:c r="M197" s="16" t="str">
        <x:v>https://www.google.com/search?q=Pembina%20Gorge%20State%20Recreation%20Area%20Walhalla%20North%20Dakota%20wikipedia%20OR%20wikivoyage</x:v>
      </x:c>
      <x:c r="N197" s="16" t="str">
        <x:v>https://www.google.com/maps/search/?api=1&amp;query=Pembina%20Gorge%20State%20Recreation%20Area%2C%20Walhalla%2C%20North%20Dakota</x:v>
      </x:c>
      <x:c r="O197" s="17" t="b">
        <x:v>1</x:v>
      </x:c>
      <x:c r="P197" s="16" t="b">
        <x:f>IFERROR(VLOOKUP(A197,States!$A$2:$B$18,2,FALSE),FALSE)</x:f>
        <x:v>1</x:v>
      </x:c>
      <x:c r="Q197" s="16" t="b">
        <x:f>AND(OR(O197=TRUE,O197="TRUE"),OR(P197=TRUE,P197="TRUE"))</x:f>
        <x:v>1</x:v>
      </x:c>
    </x:row>
    <x:row r="198">
      <x:c r="A198" s="16" t="str">
        <x:v>North Dakota</x:v>
      </x:c>
      <x:c r="B198" s="16" t="str">
        <x:v>Riverdale</x:v>
      </x:c>
      <x:c r="C198" s="16" t="n">
        <x:v>-101.408</x:v>
      </x:c>
      <x:c r="D198" s="16" t="n">
        <x:v>47.495</x:v>
      </x:c>
      <x:c r="E198" s="16" t="str">
        <x:v>Lake Sakakawea and Garrison Dam</x:v>
      </x:c>
      <x:c r="F198" s="16" t="str">
        <x:v>Boaters, anglers, families</x:v>
      </x:c>
      <x:c r="G198" s="16" t="str">
        <x:v>A huge reservoir creates beaches, fishing, and open-water recreation.</x:v>
      </x:c>
      <x:c r="H198" s="16" t="str">
        <x:v>Waterfront</x:v>
      </x:c>
      <x:c r="I198" s="16" t="str">
        <x:v>https://www.google.com/search?q=Lake%20Sakakawea%20and%20Garrison%20Dam%20Riverdale%20North%20Dakota%20official%20website</x:v>
      </x:c>
      <x:c r="J198" s="16" t="str">
        <x:v>https://www.google.com/search?q=site%3Andtourism.com%20Lake%20Sakakawea%20and%20Garrison%20Dam</x:v>
      </x:c>
      <x:c r="K198" s="16" t="str">
        <x:v>https://www.google.com/search?q=Lake%20Sakakawea%20and%20Garrison%20Dam%20Riverdale%20North%20Dakota%20visitor%20information</x:v>
      </x:c>
      <x:c r="L198" s="16" t="str">
        <x:v>https://www.google.com/search?q=Lake%20Sakakawea%20and%20Garrison%20Dam%20Riverdale%20North%20Dakota%20photos</x:v>
      </x:c>
      <x:c r="M198" s="16" t="str">
        <x:v>https://www.google.com/search?q=Lake%20Sakakawea%20and%20Garrison%20Dam%20Riverdale%20North%20Dakota%20wikipedia%20OR%20wikivoyage</x:v>
      </x:c>
      <x:c r="N198" s="16" t="str">
        <x:v>https://www.google.com/maps/search/?api=1&amp;query=Lake%20Sakakawea%20and%20Garrison%20Dam%2C%20Riverdale%2C%20North%20Dakota</x:v>
      </x:c>
      <x:c r="O198" s="17" t="b">
        <x:v>1</x:v>
      </x:c>
      <x:c r="P198" s="16" t="b">
        <x:f>IFERROR(VLOOKUP(A198,States!$A$2:$B$18,2,FALSE),FALSE)</x:f>
        <x:v>1</x:v>
      </x:c>
      <x:c r="Q198" s="16" t="b">
        <x:f>AND(OR(O198=TRUE,O198="TRUE"),OR(P198=TRUE,P198="TRUE"))</x:f>
        <x:v>1</x:v>
      </x:c>
    </x:row>
    <x:row r="199">
      <x:c r="A199" s="16" t="str">
        <x:v>North Dakota</x:v>
      </x:c>
      <x:c r="B199" s="16" t="str">
        <x:v>Washburn</x:v>
      </x:c>
      <x:c r="C199" s="16" t="n">
        <x:v>-101.026</x:v>
      </x:c>
      <x:c r="D199" s="16" t="n">
        <x:v>47.288</x:v>
      </x:c>
      <x:c r="E199" s="16" t="str">
        <x:v>Lewis and Clark Interpretive Center</x:v>
      </x:c>
      <x:c r="F199" s="16" t="str">
        <x:v>History travelers, families</x:v>
      </x:c>
      <x:c r="G199" s="16" t="str">
        <x:v>Exhibits connect expedition history with the Missouri River landscape.</x:v>
      </x:c>
      <x:c r="H199" s="16" t="str">
        <x:v>Museum</x:v>
      </x:c>
      <x:c r="I199" s="16" t="str">
        <x:v>https://www.google.com/search?q=Lewis%20and%20Clark%20Interpretive%20Center%20Washburn%20North%20Dakota%20official%20website</x:v>
      </x:c>
      <x:c r="J199" s="16" t="str">
        <x:v>https://www.google.com/search?q=site%3Andtourism.com%20Lewis%20and%20Clark%20Interpretive%20Center</x:v>
      </x:c>
      <x:c r="K199" s="16" t="str">
        <x:v>https://www.google.com/search?q=Lewis%20and%20Clark%20Interpretive%20Center%20Washburn%20North%20Dakota%20visitor%20information</x:v>
      </x:c>
      <x:c r="L199" s="16" t="str">
        <x:v>https://www.google.com/search?q=Lewis%20and%20Clark%20Interpretive%20Center%20Washburn%20North%20Dakota%20photos</x:v>
      </x:c>
      <x:c r="M199" s="16" t="str">
        <x:v>https://www.google.com/search?q=Lewis%20and%20Clark%20Interpretive%20Center%20Washburn%20North%20Dakota%20wikipedia%20OR%20wikivoyage</x:v>
      </x:c>
      <x:c r="N199" s="16" t="str">
        <x:v>https://www.google.com/maps/search/?api=1&amp;query=Lewis%20and%20Clark%20Interpretive%20Center%2C%20Washburn%2C%20North%20Dakota</x:v>
      </x:c>
      <x:c r="O199" s="17" t="b">
        <x:v>1</x:v>
      </x:c>
      <x:c r="P199" s="16" t="b">
        <x:f>IFERROR(VLOOKUP(A199,States!$A$2:$B$18,2,FALSE),FALSE)</x:f>
        <x:v>1</x:v>
      </x:c>
      <x:c r="Q199" s="16" t="b">
        <x:f>AND(OR(O199=TRUE,O199="TRUE"),OR(P199=TRUE,P199="TRUE"))</x:f>
        <x:v>1</x:v>
      </x:c>
    </x:row>
    <x:row r="200">
      <x:c r="A200" s="16" t="str">
        <x:v>North Dakota</x:v>
      </x:c>
      <x:c r="B200" s="16" t="str">
        <x:v>Medora</x:v>
      </x:c>
      <x:c r="C200" s="16" t="n">
        <x:v>-103.525</x:v>
      </x:c>
      <x:c r="D200" s="16" t="n">
        <x:v>46.914</x:v>
      </x:c>
      <x:c r="E200" s="16" t="str">
        <x:v>Chateau de Mores State Historic Site</x:v>
      </x:c>
      <x:c r="F200" s="16" t="str">
        <x:v>History buffs, architecture fans</x:v>
      </x:c>
      <x:c r="G200" s="16" t="str">
        <x:v>A preserved ranch home tells the story of Medora's cattle era.</x:v>
      </x:c>
      <x:c r="H200" s="16" t="str">
        <x:v>Historic Site</x:v>
      </x:c>
      <x:c r="I200" s="16" t="str">
        <x:v>https://www.google.com/search?q=Chateau%20de%20Mores%20State%20Historic%20Site%20Medora%20North%20Dakota%20official%20website</x:v>
      </x:c>
      <x:c r="J200" s="16" t="str">
        <x:v>https://www.google.com/search?q=site%3Andtourism.com%20Chateau%20de%20Mores%20State%20Historic%20Site</x:v>
      </x:c>
      <x:c r="K200" s="16" t="str">
        <x:v>https://www.google.com/search?q=Chateau%20de%20Mores%20State%20Historic%20Site%20Medora%20North%20Dakota%20visitor%20information</x:v>
      </x:c>
      <x:c r="L200" s="16" t="str">
        <x:v>https://www.google.com/search?q=Chateau%20de%20Mores%20State%20Historic%20Site%20Medora%20North%20Dakota%20photos</x:v>
      </x:c>
      <x:c r="M200" s="16" t="str">
        <x:v>https://www.google.com/search?q=Chateau%20de%20Mores%20State%20Historic%20Site%20Medora%20North%20Dakota%20wikipedia%20OR%20wikivoyage</x:v>
      </x:c>
      <x:c r="N200" s="16" t="str">
        <x:v>https://www.google.com/maps/search/?api=1&amp;query=Chateau%20de%20Mores%20State%20Historic%20Site%2C%20Medora%2C%20North%20Dakota</x:v>
      </x:c>
      <x:c r="O200" s="17" t="b">
        <x:v>1</x:v>
      </x:c>
      <x:c r="P200" s="16" t="b">
        <x:f>IFERROR(VLOOKUP(A200,States!$A$2:$B$18,2,FALSE),FALSE)</x:f>
        <x:v>1</x:v>
      </x:c>
      <x:c r="Q200" s="16" t="b">
        <x:f>AND(OR(O200=TRUE,O200="TRUE"),OR(P200=TRUE,P200="TRUE"))</x:f>
        <x:v>1</x:v>
      </x:c>
    </x:row>
    <x:row r="201">
      <x:c r="A201" s="16" t="str">
        <x:v>North Dakota</x:v>
      </x:c>
      <x:c r="B201" s="16" t="str">
        <x:v>St. Michael</x:v>
      </x:c>
      <x:c r="C201" s="16" t="n">
        <x:v>-98.997</x:v>
      </x:c>
      <x:c r="D201" s="16" t="n">
        <x:v>47.971</x:v>
      </x:c>
      <x:c r="E201" s="16" t="str">
        <x:v>White Horse Hill National Game Preserve</x:v>
      </x:c>
      <x:c r="F201" s="16" t="str">
        <x:v>Wildlife watchers, families</x:v>
      </x:c>
      <x:c r="G201" s="16" t="str">
        <x:v>Prairie and wetland habitat offer bison, elk, birds, and lake views.</x:v>
      </x:c>
      <x:c r="H201" s="16" t="str">
        <x:v>Wildlife</x:v>
      </x:c>
      <x:c r="I201" s="16" t="str">
        <x:v>https://www.google.com/search?q=White%20Horse%20Hill%20National%20Game%20Preserve%20St.%20Michael%20North%20Dakota%20official%20website</x:v>
      </x:c>
      <x:c r="J201" s="16" t="str">
        <x:v>https://www.google.com/search?q=site%3Andtourism.com%20White%20Horse%20Hill%20National%20Game%20Preserve</x:v>
      </x:c>
      <x:c r="K201" s="16" t="str">
        <x:v>https://www.google.com/search?q=White%20Horse%20Hill%20National%20Game%20Preserve%20St.%20Michael%20North%20Dakota%20visitor%20information</x:v>
      </x:c>
      <x:c r="L201" s="16" t="str">
        <x:v>https://www.google.com/search?q=White%20Horse%20Hill%20National%20Game%20Preserve%20St.%20Michael%20North%20Dakota%20photos</x:v>
      </x:c>
      <x:c r="M201" s="16" t="str">
        <x:v>https://www.google.com/search?q=White%20Horse%20Hill%20National%20Game%20Preserve%20St.%20Michael%20North%20Dakota%20wikipedia%20OR%20wikivoyage</x:v>
      </x:c>
      <x:c r="N201" s="16" t="str">
        <x:v>https://www.google.com/maps/search/?api=1&amp;query=White%20Horse%20Hill%20National%20Game%20Preserve%2C%20St.%20Michael%2C%20North%20Dakota</x:v>
      </x:c>
      <x:c r="O201" s="17" t="b">
        <x:v>1</x:v>
      </x:c>
      <x:c r="P201" s="16" t="b">
        <x:f>IFERROR(VLOOKUP(A201,States!$A$2:$B$18,2,FALSE),FALSE)</x:f>
        <x:v>1</x:v>
      </x:c>
      <x:c r="Q201" s="16" t="b">
        <x:f>AND(OR(O201=TRUE,O201="TRUE"),OR(P201=TRUE,P201="TRUE"))</x:f>
        <x:v>1</x:v>
      </x:c>
    </x:row>
    <x:row r="202">
      <x:c r="A202" s="16" t="str">
        <x:v>South Dakota</x:v>
      </x:c>
      <x:c r="B202" s="16" t="str">
        <x:v>Keystone</x:v>
      </x:c>
      <x:c r="C202" s="16" t="n">
        <x:v>-103.459</x:v>
      </x:c>
      <x:c r="D202" s="16" t="n">
        <x:v>43.879</x:v>
      </x:c>
      <x:c r="E202" s="16" t="str">
        <x:v>Mount Rushmore National Memorial</x:v>
      </x:c>
      <x:c r="F202" s="16" t="str">
        <x:v>Families, first-time visitors, history travelers</x:v>
      </x:c>
      <x:c r="G202" s="16" t="str">
        <x:v>The monumental sculpture is one of the region's signature landmarks.</x:v>
      </x:c>
      <x:c r="H202" s="16" t="str">
        <x:v>Memorial</x:v>
      </x:c>
      <x:c r="I202" s="16" t="str">
        <x:v>https://www.google.com/search?q=Mount%20Rushmore%20National%20Memorial%20Keystone%20South%20Dakota%20official%20website</x:v>
      </x:c>
      <x:c r="J202" s="16" t="str">
        <x:v>https://www.google.com/search?q=site%3Atravelsouthdakota.com%20Mount%20Rushmore%20National%20Memorial</x:v>
      </x:c>
      <x:c r="K202" s="16" t="str">
        <x:v>https://www.google.com/search?q=Mount%20Rushmore%20National%20Memorial%20Keystone%20South%20Dakota%20visitor%20information</x:v>
      </x:c>
      <x:c r="L202" s="16" t="str">
        <x:v>https://www.google.com/search?q=Mount%20Rushmore%20National%20Memorial%20Keystone%20South%20Dakota%20photos</x:v>
      </x:c>
      <x:c r="M202" s="16" t="str">
        <x:v>https://www.google.com/search?q=Mount%20Rushmore%20National%20Memorial%20Keystone%20South%20Dakota%20wikipedia%20OR%20wikivoyage</x:v>
      </x:c>
      <x:c r="N202" s="16" t="str">
        <x:v>https://www.google.com/maps/search/?api=1&amp;query=Mount%20Rushmore%20National%20Memorial%2C%20Keystone%2C%20South%20Dakota</x:v>
      </x:c>
      <x:c r="O202" s="17" t="b">
        <x:v>1</x:v>
      </x:c>
      <x:c r="P202" s="16" t="b">
        <x:f>IFERROR(VLOOKUP(A202,States!$A$2:$B$18,2,FALSE),FALSE)</x:f>
        <x:v>1</x:v>
      </x:c>
      <x:c r="Q202" s="16" t="b">
        <x:f>AND(OR(O202=TRUE,O202="TRUE"),OR(P202=TRUE,P202="TRUE"))</x:f>
        <x:v>1</x:v>
      </x:c>
    </x:row>
    <x:row r="203">
      <x:c r="A203" s="16" t="str">
        <x:v>South Dakota</x:v>
      </x:c>
      <x:c r="B203" s="16" t="str">
        <x:v>Interior</x:v>
      </x:c>
      <x:c r="C203" s="16" t="n">
        <x:v>-102.34</x:v>
      </x:c>
      <x:c r="D203" s="16" t="n">
        <x:v>43.75</x:v>
      </x:c>
      <x:c r="E203" s="16" t="str">
        <x:v>Badlands National Park</x:v>
      </x:c>
      <x:c r="F203" s="16" t="str">
        <x:v>Hikers, photographers, families</x:v>
      </x:c>
      <x:c r="G203" s="16" t="str">
        <x:v>Striped formations, wildlife, and open drives create unforgettable scenery.</x:v>
      </x:c>
      <x:c r="H203" s="16" t="str">
        <x:v>National Park</x:v>
      </x:c>
      <x:c r="I203" s="16" t="str">
        <x:v>https://www.google.com/search?q=Badlands%20National%20Park%20Interior%20South%20Dakota%20official%20website</x:v>
      </x:c>
      <x:c r="J203" s="16" t="str">
        <x:v>https://www.google.com/search?q=site%3Atravelsouthdakota.com%20Badlands%20National%20Park</x:v>
      </x:c>
      <x:c r="K203" s="16" t="str">
        <x:v>https://www.google.com/search?q=Badlands%20National%20Park%20Interior%20South%20Dakota%20visitor%20information</x:v>
      </x:c>
      <x:c r="L203" s="16" t="str">
        <x:v>https://www.google.com/search?q=Badlands%20National%20Park%20Interior%20South%20Dakota%20photos</x:v>
      </x:c>
      <x:c r="M203" s="16" t="str">
        <x:v>https://www.google.com/search?q=site%3Anps.gov%20Badlands%20National%20Park</x:v>
      </x:c>
      <x:c r="N203" s="16" t="str">
        <x:v>https://www.google.com/maps/search/?api=1&amp;query=Badlands%20National%20Park%2C%20Interior%2C%20South%20Dakota</x:v>
      </x:c>
      <x:c r="O203" s="17" t="b">
        <x:v>1</x:v>
      </x:c>
      <x:c r="P203" s="16" t="b">
        <x:f>IFERROR(VLOOKUP(A203,States!$A$2:$B$18,2,FALSE),FALSE)</x:f>
        <x:v>1</x:v>
      </x:c>
      <x:c r="Q203" s="16" t="b">
        <x:f>AND(OR(O203=TRUE,O203="TRUE"),OR(P203=TRUE,P203="TRUE"))</x:f>
        <x:v>1</x:v>
      </x:c>
    </x:row>
    <x:row r="204">
      <x:c r="A204" s="16" t="str">
        <x:v>South Dakota</x:v>
      </x:c>
      <x:c r="B204" s="16" t="str">
        <x:v>Custer</x:v>
      </x:c>
      <x:c r="C204" s="16" t="n">
        <x:v>-103.505</x:v>
      </x:c>
      <x:c r="D204" s="16" t="n">
        <x:v>43.762</x:v>
      </x:c>
      <x:c r="E204" s="16" t="str">
        <x:v>Custer State Park</x:v>
      </x:c>
      <x:c r="F204" s="16" t="str">
        <x:v>Wildlife watchers, families, scenic drivers</x:v>
      </x:c>
      <x:c r="G204" s="16" t="str">
        <x:v>Bison herds, granite peaks, lakes, and drives fill a huge park.</x:v>
      </x:c>
      <x:c r="H204" s="16" t="str">
        <x:v>Nature</x:v>
      </x:c>
      <x:c r="I204" s="16" t="str">
        <x:v>https://www.google.com/search?q=Custer%20State%20Park%20Custer%20South%20Dakota%20official%20website</x:v>
      </x:c>
      <x:c r="J204" s="16" t="str">
        <x:v>https://www.google.com/search?q=site%3Atravelsouthdakota.com%20Custer%20State%20Park</x:v>
      </x:c>
      <x:c r="K204" s="16" t="str">
        <x:v>https://www.google.com/search?q=Custer%20State%20Park%20Custer%20South%20Dakota%20visitor%20information</x:v>
      </x:c>
      <x:c r="L204" s="16" t="str">
        <x:v>https://www.google.com/search?q=Custer%20State%20Park%20Custer%20South%20Dakota%20photos</x:v>
      </x:c>
      <x:c r="M204" s="16" t="str">
        <x:v>https://www.google.com/search?q=Custer%20State%20Park%20Custer%20South%20Dakota%20wikipedia%20OR%20wikivoyage</x:v>
      </x:c>
      <x:c r="N204" s="16" t="str">
        <x:v>https://www.google.com/maps/search/?api=1&amp;query=Custer%20State%20Park%2C%20Custer%2C%20South%20Dakota</x:v>
      </x:c>
      <x:c r="O204" s="17" t="b">
        <x:v>1</x:v>
      </x:c>
      <x:c r="P204" s="16" t="b">
        <x:f>IFERROR(VLOOKUP(A204,States!$A$2:$B$18,2,FALSE),FALSE)</x:f>
        <x:v>1</x:v>
      </x:c>
      <x:c r="Q204" s="16" t="b">
        <x:f>AND(OR(O204=TRUE,O204="TRUE"),OR(P204=TRUE,P204="TRUE"))</x:f>
        <x:v>1</x:v>
      </x:c>
    </x:row>
    <x:row r="205">
      <x:c r="A205" s="16" t="str">
        <x:v>South Dakota</x:v>
      </x:c>
      <x:c r="B205" s="16" t="str">
        <x:v>Custer</x:v>
      </x:c>
      <x:c r="C205" s="16" t="n">
        <x:v>-103.623</x:v>
      </x:c>
      <x:c r="D205" s="16" t="n">
        <x:v>43.837</x:v>
      </x:c>
      <x:c r="E205" s="16" t="str">
        <x:v>Crazy Horse Memorial</x:v>
      </x:c>
      <x:c r="F205" s="16" t="str">
        <x:v>History travelers, families</x:v>
      </x:c>
      <x:c r="G205" s="16" t="str">
        <x:v>A massive mountain carving and museum interpret Lakota culture and vision.</x:v>
      </x:c>
      <x:c r="H205" s="16" t="str">
        <x:v>Memorial</x:v>
      </x:c>
      <x:c r="I205" s="16" t="str">
        <x:v>https://www.google.com/search?q=Crazy%20Horse%20Memorial%20Custer%20South%20Dakota%20official%20website</x:v>
      </x:c>
      <x:c r="J205" s="16" t="str">
        <x:v>https://www.google.com/search?q=site%3Atravelsouthdakota.com%20Crazy%20Horse%20Memorial</x:v>
      </x:c>
      <x:c r="K205" s="16" t="str">
        <x:v>https://www.google.com/search?q=Crazy%20Horse%20Memorial%20Custer%20South%20Dakota%20visitor%20information</x:v>
      </x:c>
      <x:c r="L205" s="16" t="str">
        <x:v>https://www.google.com/search?q=Crazy%20Horse%20Memorial%20Custer%20South%20Dakota%20photos</x:v>
      </x:c>
      <x:c r="M205" s="16" t="str">
        <x:v>https://www.google.com/search?q=Crazy%20Horse%20Memorial%20Custer%20South%20Dakota%20wikipedia%20OR%20wikivoyage</x:v>
      </x:c>
      <x:c r="N205" s="16" t="str">
        <x:v>https://www.google.com/maps/search/?api=1&amp;query=Crazy%20Horse%20Memorial%2C%20Custer%2C%20South%20Dakota</x:v>
      </x:c>
      <x:c r="O205" s="17" t="b">
        <x:v>1</x:v>
      </x:c>
      <x:c r="P205" s="16" t="b">
        <x:f>IFERROR(VLOOKUP(A205,States!$A$2:$B$18,2,FALSE),FALSE)</x:f>
        <x:v>1</x:v>
      </x:c>
      <x:c r="Q205" s="16" t="b">
        <x:f>AND(OR(O205=TRUE,O205="TRUE"),OR(P205=TRUE,P205="TRUE"))</x:f>
        <x:v>1</x:v>
      </x:c>
    </x:row>
    <x:row r="206">
      <x:c r="A206" s="16" t="str">
        <x:v>South Dakota</x:v>
      </x:c>
      <x:c r="B206" s="16" t="str">
        <x:v>Hot Springs</x:v>
      </x:c>
      <x:c r="C206" s="16" t="n">
        <x:v>-103.483</x:v>
      </x:c>
      <x:c r="D206" s="16" t="n">
        <x:v>43.556</x:v>
      </x:c>
      <x:c r="E206" s="16" t="str">
        <x:v>Wind Cave National Park</x:v>
      </x:c>
      <x:c r="F206" s="16" t="str">
        <x:v>Cave fans, wildlife watchers</x:v>
      </x:c>
      <x:c r="G206" s="16" t="str">
        <x:v>Complex cave passages sit below prairie wildlife habitat.</x:v>
      </x:c>
      <x:c r="H206" s="16" t="str">
        <x:v>National Park</x:v>
      </x:c>
      <x:c r="I206" s="16" t="str">
        <x:v>https://www.google.com/search?q=Wind%20Cave%20National%20Park%20Hot%20Springs%20South%20Dakota%20official%20website</x:v>
      </x:c>
      <x:c r="J206" s="16" t="str">
        <x:v>https://www.google.com/search?q=site%3Atravelsouthdakota.com%20Wind%20Cave%20National%20Park</x:v>
      </x:c>
      <x:c r="K206" s="16" t="str">
        <x:v>https://www.google.com/search?q=Wind%20Cave%20National%20Park%20Hot%20Springs%20South%20Dakota%20visitor%20information</x:v>
      </x:c>
      <x:c r="L206" s="16" t="str">
        <x:v>https://www.google.com/search?q=Wind%20Cave%20National%20Park%20Hot%20Springs%20South%20Dakota%20photos</x:v>
      </x:c>
      <x:c r="M206" s="16" t="str">
        <x:v>https://www.google.com/search?q=site%3Anps.gov%20Wind%20Cave%20National%20Park</x:v>
      </x:c>
      <x:c r="N206" s="16" t="str">
        <x:v>https://www.google.com/maps/search/?api=1&amp;query=Wind%20Cave%20National%20Park%2C%20Hot%20Springs%2C%20South%20Dakota</x:v>
      </x:c>
      <x:c r="O206" s="17" t="b">
        <x:v>1</x:v>
      </x:c>
      <x:c r="P206" s="16" t="b">
        <x:f>IFERROR(VLOOKUP(A206,States!$A$2:$B$18,2,FALSE),FALSE)</x:f>
        <x:v>1</x:v>
      </x:c>
      <x:c r="Q206" s="16" t="b">
        <x:f>AND(OR(O206=TRUE,O206="TRUE"),OR(P206=TRUE,P206="TRUE"))</x:f>
        <x:v>1</x:v>
      </x:c>
    </x:row>
    <x:row r="207">
      <x:c r="A207" s="16" t="str">
        <x:v>South Dakota</x:v>
      </x:c>
      <x:c r="B207" s="16" t="str">
        <x:v>Custer</x:v>
      </x:c>
      <x:c r="C207" s="16" t="n">
        <x:v>-103.829</x:v>
      </x:c>
      <x:c r="D207" s="16" t="n">
        <x:v>43.729</x:v>
      </x:c>
      <x:c r="E207" s="16" t="str">
        <x:v>Jewel Cave National Monument</x:v>
      </x:c>
      <x:c r="F207" s="16" t="str">
        <x:v>Cave fans, families</x:v>
      </x:c>
      <x:c r="G207" s="16" t="str">
        <x:v>Guided tours explore one of the world's longest cave systems.</x:v>
      </x:c>
      <x:c r="H207" s="16" t="str">
        <x:v>Cave</x:v>
      </x:c>
      <x:c r="I207" s="16" t="str">
        <x:v>https://www.google.com/search?q=Jewel%20Cave%20National%20Monument%20Custer%20South%20Dakota%20official%20website</x:v>
      </x:c>
      <x:c r="J207" s="16" t="str">
        <x:v>https://www.google.com/search?q=site%3Atravelsouthdakota.com%20Jewel%20Cave%20National%20Monument</x:v>
      </x:c>
      <x:c r="K207" s="16" t="str">
        <x:v>https://www.google.com/search?q=Jewel%20Cave%20National%20Monument%20Custer%20South%20Dakota%20visitor%20information</x:v>
      </x:c>
      <x:c r="L207" s="16" t="str">
        <x:v>https://www.google.com/search?q=Jewel%20Cave%20National%20Monument%20Custer%20South%20Dakota%20photos</x:v>
      </x:c>
      <x:c r="M207" s="16" t="str">
        <x:v>https://www.google.com/search?q=Jewel%20Cave%20National%20Monument%20Custer%20South%20Dakota%20wikipedia%20OR%20wikivoyage</x:v>
      </x:c>
      <x:c r="N207" s="16" t="str">
        <x:v>https://www.google.com/maps/search/?api=1&amp;query=Jewel%20Cave%20National%20Monument%2C%20Custer%2C%20South%20Dakota</x:v>
      </x:c>
      <x:c r="O207" s="17" t="b">
        <x:v>1</x:v>
      </x:c>
      <x:c r="P207" s="16" t="b">
        <x:f>IFERROR(VLOOKUP(A207,States!$A$2:$B$18,2,FALSE),FALSE)</x:f>
        <x:v>1</x:v>
      </x:c>
      <x:c r="Q207" s="16" t="b">
        <x:f>AND(OR(O207=TRUE,O207="TRUE"),OR(P207=TRUE,P207="TRUE"))</x:f>
        <x:v>1</x:v>
      </x:c>
    </x:row>
    <x:row r="208">
      <x:c r="A208" s="16" t="str">
        <x:v>South Dakota</x:v>
      </x:c>
      <x:c r="B208" s="16" t="str">
        <x:v>Sioux Falls</x:v>
      </x:c>
      <x:c r="C208" s="16" t="n">
        <x:v>-96.72</x:v>
      </x:c>
      <x:c r="D208" s="16" t="n">
        <x:v>43.559</x:v>
      </x:c>
      <x:c r="E208" s="16" t="str">
        <x:v>Falls Park</x:v>
      </x:c>
      <x:c r="F208" s="16" t="str">
        <x:v>Families, walkers, photographers</x:v>
      </x:c>
      <x:c r="G208" s="16" t="str">
        <x:v>Pink quartzite falls and historic mills anchor downtown Sioux Falls.</x:v>
      </x:c>
      <x:c r="H208" s="16" t="str">
        <x:v>Urban Park</x:v>
      </x:c>
      <x:c r="I208" s="16" t="str">
        <x:v>https://www.google.com/search?q=Falls%20Park%20Sioux%20Falls%20South%20Dakota%20official%20website</x:v>
      </x:c>
      <x:c r="J208" s="16" t="str">
        <x:v>https://www.google.com/search?q=site%3Atravelsouthdakota.com%20Falls%20Park</x:v>
      </x:c>
      <x:c r="K208" s="16" t="str">
        <x:v>https://www.google.com/search?q=Falls%20Park%20Sioux%20Falls%20South%20Dakota%20visitor%20information</x:v>
      </x:c>
      <x:c r="L208" s="16" t="str">
        <x:v>https://www.google.com/search?q=Falls%20Park%20Sioux%20Falls%20South%20Dakota%20photos</x:v>
      </x:c>
      <x:c r="M208" s="16" t="str">
        <x:v>https://www.google.com/search?q=Falls%20Park%20Sioux%20Falls%20South%20Dakota%20wikipedia%20OR%20wikivoyage</x:v>
      </x:c>
      <x:c r="N208" s="16" t="str">
        <x:v>https://www.google.com/maps/search/?api=1&amp;query=Falls%20Park%2C%20Sioux%20Falls%2C%20South%20Dakota</x:v>
      </x:c>
      <x:c r="O208" s="17" t="b">
        <x:v>1</x:v>
      </x:c>
      <x:c r="P208" s="16" t="b">
        <x:f>IFERROR(VLOOKUP(A208,States!$A$2:$B$18,2,FALSE),FALSE)</x:f>
        <x:v>1</x:v>
      </x:c>
      <x:c r="Q208" s="16" t="b">
        <x:f>AND(OR(O208=TRUE,O208="TRUE"),OR(P208=TRUE,P208="TRUE"))</x:f>
        <x:v>1</x:v>
      </x:c>
    </x:row>
    <x:row r="209">
      <x:c r="A209" s="16" t="str">
        <x:v>South Dakota</x:v>
      </x:c>
      <x:c r="B209" s="16" t="str">
        <x:v>Spearfish</x:v>
      </x:c>
      <x:c r="C209" s="16" t="n">
        <x:v>-103.916</x:v>
      </x:c>
      <x:c r="D209" s="16" t="n">
        <x:v>44.35</x:v>
      </x:c>
      <x:c r="E209" s="16" t="str">
        <x:v>Spearfish Canyon Scenic Byway</x:v>
      </x:c>
      <x:c r="F209" s="16" t="str">
        <x:v>Scenic drivers, hikers, photographers</x:v>
      </x:c>
      <x:c r="G209" s="16" t="str">
        <x:v>Limestone walls, waterfalls, and forest roads make a beautiful drive.</x:v>
      </x:c>
      <x:c r="H209" s="16" t="str">
        <x:v>Scenic Drive</x:v>
      </x:c>
      <x:c r="I209" s="16" t="str">
        <x:v>https://www.google.com/search?q=Spearfish%20Canyon%20Scenic%20Byway%20Spearfish%20South%20Dakota%20official%20website</x:v>
      </x:c>
      <x:c r="J209" s="16" t="str">
        <x:v>https://www.google.com/search?q=site%3Atravelsouthdakota.com%20Spearfish%20Canyon%20Scenic%20Byway</x:v>
      </x:c>
      <x:c r="K209" s="16" t="str">
        <x:v>https://www.google.com/search?q=Spearfish%20Canyon%20Scenic%20Byway%20Spearfish%20South%20Dakota%20visitor%20information</x:v>
      </x:c>
      <x:c r="L209" s="16" t="str">
        <x:v>https://www.google.com/search?q=Spearfish%20Canyon%20Scenic%20Byway%20Spearfish%20South%20Dakota%20photos</x:v>
      </x:c>
      <x:c r="M209" s="16" t="str">
        <x:v>https://www.google.com/search?q=Spearfish%20Canyon%20Scenic%20Byway%20Spearfish%20South%20Dakota%20wikipedia%20OR%20wikivoyage</x:v>
      </x:c>
      <x:c r="N209" s="16" t="str">
        <x:v>https://www.google.com/maps/search/?api=1&amp;query=Spearfish%20Canyon%20Scenic%20Byway%2C%20Spearfish%2C%20South%20Dakota</x:v>
      </x:c>
      <x:c r="O209" s="17" t="b">
        <x:v>1</x:v>
      </x:c>
      <x:c r="P209" s="16" t="b">
        <x:f>IFERROR(VLOOKUP(A209,States!$A$2:$B$18,2,FALSE),FALSE)</x:f>
        <x:v>1</x:v>
      </x:c>
      <x:c r="Q209" s="16" t="b">
        <x:f>AND(OR(O209=TRUE,O209="TRUE"),OR(P209=TRUE,P209="TRUE"))</x:f>
        <x:v>1</x:v>
      </x:c>
    </x:row>
    <x:row r="210">
      <x:c r="A210" s="16" t="str">
        <x:v>South Dakota</x:v>
      </x:c>
      <x:c r="B210" s="16" t="str">
        <x:v>Deadwood</x:v>
      </x:c>
      <x:c r="C210" s="16" t="n">
        <x:v>-103.729</x:v>
      </x:c>
      <x:c r="D210" s="16" t="n">
        <x:v>44.376</x:v>
      </x:c>
      <x:c r="E210" s="16" t="str">
        <x:v>Deadwood Historic District</x:v>
      </x:c>
      <x:c r="F210" s="16" t="str">
        <x:v>History fans, nightlife travelers</x:v>
      </x:c>
      <x:c r="G210" s="16" t="str">
        <x:v>Gold-rush buildings and Wild West stories define the town center.</x:v>
      </x:c>
      <x:c r="H210" s="16" t="str">
        <x:v>Historic Site</x:v>
      </x:c>
      <x:c r="I210" s="16" t="str">
        <x:v>https://www.google.com/search?q=Deadwood%20Historic%20District%20Deadwood%20South%20Dakota%20official%20website</x:v>
      </x:c>
      <x:c r="J210" s="16" t="str">
        <x:v>https://www.google.com/search?q=site%3Atravelsouthdakota.com%20Deadwood%20Historic%20District</x:v>
      </x:c>
      <x:c r="K210" s="16" t="str">
        <x:v>https://www.google.com/search?q=Deadwood%20Historic%20District%20Deadwood%20South%20Dakota%20visitor%20information</x:v>
      </x:c>
      <x:c r="L210" s="16" t="str">
        <x:v>https://www.google.com/search?q=Deadwood%20Historic%20District%20Deadwood%20South%20Dakota%20photos</x:v>
      </x:c>
      <x:c r="M210" s="16" t="str">
        <x:v>https://www.google.com/search?q=Deadwood%20Historic%20District%20Deadwood%20South%20Dakota%20wikipedia%20OR%20wikivoyage</x:v>
      </x:c>
      <x:c r="N210" s="16" t="str">
        <x:v>https://www.google.com/maps/search/?api=1&amp;query=Deadwood%20Historic%20District%2C%20Deadwood%2C%20South%20Dakota</x:v>
      </x:c>
      <x:c r="O210" s="17" t="b">
        <x:v>1</x:v>
      </x:c>
      <x:c r="P210" s="16" t="b">
        <x:f>IFERROR(VLOOKUP(A210,States!$A$2:$B$18,2,FALSE),FALSE)</x:f>
        <x:v>1</x:v>
      </x:c>
      <x:c r="Q210" s="16" t="b">
        <x:f>AND(OR(O210=TRUE,O210="TRUE"),OR(P210=TRUE,P210="TRUE"))</x:f>
        <x:v>1</x:v>
      </x:c>
    </x:row>
    <x:row r="211">
      <x:c r="A211" s="16" t="str">
        <x:v>South Dakota</x:v>
      </x:c>
      <x:c r="B211" s="16" t="str">
        <x:v>Hot Springs</x:v>
      </x:c>
      <x:c r="C211" s="16" t="n">
        <x:v>-103.48</x:v>
      </x:c>
      <x:c r="D211" s="16" t="n">
        <x:v>43.43</x:v>
      </x:c>
      <x:c r="E211" s="16" t="str">
        <x:v>The Mammoth Site</x:v>
      </x:c>
      <x:c r="F211" s="16" t="str">
        <x:v>Families, fossil fans</x:v>
      </x:c>
      <x:c r="G211" s="16" t="str">
        <x:v>An active dig site preserves dozens of mammoth remains.</x:v>
      </x:c>
      <x:c r="H211" s="16" t="str">
        <x:v>Science</x:v>
      </x:c>
      <x:c r="I211" s="16" t="str">
        <x:v>https://www.google.com/search?q=The%20Mammoth%20Site%20Hot%20Springs%20South%20Dakota%20official%20website</x:v>
      </x:c>
      <x:c r="J211" s="16" t="str">
        <x:v>https://www.google.com/search?q=site%3Atravelsouthdakota.com%20The%20Mammoth%20Site</x:v>
      </x:c>
      <x:c r="K211" s="16" t="str">
        <x:v>https://www.google.com/search?q=The%20Mammoth%20Site%20Hot%20Springs%20South%20Dakota%20visitor%20information</x:v>
      </x:c>
      <x:c r="L211" s="16" t="str">
        <x:v>https://www.google.com/search?q=The%20Mammoth%20Site%20Hot%20Springs%20South%20Dakota%20photos</x:v>
      </x:c>
      <x:c r="M211" s="16" t="str">
        <x:v>https://www.google.com/search?q=The%20Mammoth%20Site%20Hot%20Springs%20South%20Dakota%20wikipedia%20OR%20wikivoyage</x:v>
      </x:c>
      <x:c r="N211" s="16" t="str">
        <x:v>https://www.google.com/maps/search/?api=1&amp;query=The%20Mammoth%20Site%2C%20Hot%20Springs%2C%20South%20Dakota</x:v>
      </x:c>
      <x:c r="O211" s="17" t="b">
        <x:v>1</x:v>
      </x:c>
      <x:c r="P211" s="16" t="b">
        <x:f>IFERROR(VLOOKUP(A211,States!$A$2:$B$18,2,FALSE),FALSE)</x:f>
        <x:v>1</x:v>
      </x:c>
      <x:c r="Q211" s="16" t="b">
        <x:f>AND(OR(O211=TRUE,O211="TRUE"),OR(P211=TRUE,P211="TRUE"))</x:f>
        <x:v>1</x:v>
      </x:c>
    </x:row>
    <x:row r="212">
      <x:c r="A212" s="16" t="str">
        <x:v>South Dakota</x:v>
      </x:c>
      <x:c r="B212" s="16" t="str">
        <x:v>Wall</x:v>
      </x:c>
      <x:c r="C212" s="16" t="n">
        <x:v>-102.241</x:v>
      </x:c>
      <x:c r="D212" s="16" t="n">
        <x:v>43.992</x:v>
      </x:c>
      <x:c r="E212" s="16" t="str">
        <x:v>Wall Drug</x:v>
      </x:c>
      <x:c r="F212" s="16" t="str">
        <x:v>Road trippers, families</x:v>
      </x:c>
      <x:c r="G212" s="16" t="str">
        <x:v>A legendary roadside stop mixes food, signs, shopping, and kitsch.</x:v>
      </x:c>
      <x:c r="H212" s="16" t="str">
        <x:v>Roadside</x:v>
      </x:c>
      <x:c r="I212" s="16" t="str">
        <x:v>https://www.google.com/search?q=Wall%20Drug%20Wall%20South%20Dakota%20official%20website</x:v>
      </x:c>
      <x:c r="J212" s="16" t="str">
        <x:v>https://www.google.com/search?q=site%3Atravelsouthdakota.com%20Wall%20Drug</x:v>
      </x:c>
      <x:c r="K212" s="16" t="str">
        <x:v>https://www.google.com/search?q=Wall%20Drug%20Wall%20South%20Dakota%20visitor%20information</x:v>
      </x:c>
      <x:c r="L212" s="16" t="str">
        <x:v>https://www.google.com/search?q=Wall%20Drug%20Wall%20South%20Dakota%20photos</x:v>
      </x:c>
      <x:c r="M212" s="16" t="str">
        <x:v>https://www.google.com/search?q=Wall%20Drug%20Wall%20South%20Dakota%20wikipedia%20OR%20wikivoyage</x:v>
      </x:c>
      <x:c r="N212" s="16" t="str">
        <x:v>https://www.google.com/maps/search/?api=1&amp;query=Wall%20Drug%2C%20Wall%2C%20South%20Dakota</x:v>
      </x:c>
      <x:c r="O212" s="17" t="b">
        <x:v>1</x:v>
      </x:c>
      <x:c r="P212" s="16" t="b">
        <x:f>IFERROR(VLOOKUP(A212,States!$A$2:$B$18,2,FALSE),FALSE)</x:f>
        <x:v>1</x:v>
      </x:c>
      <x:c r="Q212" s="16" t="b">
        <x:f>AND(OR(O212=TRUE,O212="TRUE"),OR(P212=TRUE,P212="TRUE"))</x:f>
        <x:v>1</x:v>
      </x:c>
    </x:row>
    <x:row r="213">
      <x:c r="A213" s="16" t="str">
        <x:v>South Dakota</x:v>
      </x:c>
      <x:c r="B213" s="16" t="str">
        <x:v>Sturgis</x:v>
      </x:c>
      <x:c r="C213" s="16" t="n">
        <x:v>-103.425</x:v>
      </x:c>
      <x:c r="D213" s="16" t="n">
        <x:v>44.475</x:v>
      </x:c>
      <x:c r="E213" s="16" t="str">
        <x:v>Bear Butte State Park</x:v>
      </x:c>
      <x:c r="F213" s="16" t="str">
        <x:v>Hikers, culture travelers</x:v>
      </x:c>
      <x:c r="G213" s="16" t="str">
        <x:v>A sacred butte offers short climbs and broad prairie views.</x:v>
      </x:c>
      <x:c r="H213" s="16" t="str">
        <x:v>Nature</x:v>
      </x:c>
      <x:c r="I213" s="16" t="str">
        <x:v>https://www.google.com/search?q=Bear%20Butte%20State%20Park%20Sturgis%20South%20Dakota%20official%20website</x:v>
      </x:c>
      <x:c r="J213" s="16" t="str">
        <x:v>https://www.google.com/search?q=site%3Atravelsouthdakota.com%20Bear%20Butte%20State%20Park</x:v>
      </x:c>
      <x:c r="K213" s="16" t="str">
        <x:v>https://www.google.com/search?q=Bear%20Butte%20State%20Park%20Sturgis%20South%20Dakota%20visitor%20information</x:v>
      </x:c>
      <x:c r="L213" s="16" t="str">
        <x:v>https://www.google.com/search?q=Bear%20Butte%20State%20Park%20Sturgis%20South%20Dakota%20photos</x:v>
      </x:c>
      <x:c r="M213" s="16" t="str">
        <x:v>https://www.google.com/search?q=Bear%20Butte%20State%20Park%20Sturgis%20South%20Dakota%20wikipedia%20OR%20wikivoyage</x:v>
      </x:c>
      <x:c r="N213" s="16" t="str">
        <x:v>https://www.google.com/maps/search/?api=1&amp;query=Bear%20Butte%20State%20Park%2C%20Sturgis%2C%20South%20Dakota</x:v>
      </x:c>
      <x:c r="O213" s="17" t="b">
        <x:v>1</x:v>
      </x:c>
      <x:c r="P213" s="16" t="b">
        <x:f>IFERROR(VLOOKUP(A213,States!$A$2:$B$18,2,FALSE),FALSE)</x:f>
        <x:v>1</x:v>
      </x:c>
      <x:c r="Q213" s="16" t="b">
        <x:f>AND(OR(O213=TRUE,O213="TRUE"),OR(P213=TRUE,P213="TRUE"))</x:f>
        <x:v>1</x:v>
      </x:c>
    </x:row>
    <x:row r="214">
      <x:c r="A214" s="16" t="str">
        <x:v>South Dakota</x:v>
      </x:c>
      <x:c r="B214" s="16" t="str">
        <x:v>Chamberlain</x:v>
      </x:c>
      <x:c r="C214" s="16" t="n">
        <x:v>-99.331</x:v>
      </x:c>
      <x:c r="D214" s="16" t="n">
        <x:v>43.808</x:v>
      </x:c>
      <x:c r="E214" s="16" t="str">
        <x:v>Dignity of Earth and Sky</x:v>
      </x:c>
      <x:c r="F214" s="16" t="str">
        <x:v>Road trippers, art lovers</x:v>
      </x:c>
      <x:c r="G214" s="16" t="str">
        <x:v>A striking sculpture honors Indigenous women above the Missouri River.</x:v>
      </x:c>
      <x:c r="H214" s="16" t="str">
        <x:v>Arts/Culture</x:v>
      </x:c>
      <x:c r="I214" s="16" t="str">
        <x:v>https://www.google.com/search?q=Dignity%20of%20Earth%20and%20Sky%20Chamberlain%20South%20Dakota%20official%20website</x:v>
      </x:c>
      <x:c r="J214" s="16" t="str">
        <x:v>https://www.google.com/search?q=site%3Atravelsouthdakota.com%20Dignity%20of%20Earth%20and%20Sky</x:v>
      </x:c>
      <x:c r="K214" s="16" t="str">
        <x:v>https://www.google.com/search?q=Dignity%20of%20Earth%20and%20Sky%20Chamberlain%20South%20Dakota%20visitor%20information</x:v>
      </x:c>
      <x:c r="L214" s="16" t="str">
        <x:v>https://www.google.com/search?q=Dignity%20of%20Earth%20and%20Sky%20Chamberlain%20South%20Dakota%20photos</x:v>
      </x:c>
      <x:c r="M214" s="16" t="str">
        <x:v>https://www.google.com/search?q=Dignity%20of%20Earth%20and%20Sky%20Chamberlain%20South%20Dakota%20wikipedia%20OR%20wikivoyage</x:v>
      </x:c>
      <x:c r="N214" s="16" t="str">
        <x:v>https://www.google.com/maps/search/?api=1&amp;query=Dignity%20of%20Earth%20and%20Sky%2C%20Chamberlain%2C%20South%20Dakota</x:v>
      </x:c>
      <x:c r="O214" s="17" t="b">
        <x:v>1</x:v>
      </x:c>
      <x:c r="P214" s="16" t="b">
        <x:f>IFERROR(VLOOKUP(A214,States!$A$2:$B$18,2,FALSE),FALSE)</x:f>
        <x:v>1</x:v>
      </x:c>
      <x:c r="Q214" s="16" t="b">
        <x:f>AND(OR(O214=TRUE,O214="TRUE"),OR(P214=TRUE,P214="TRUE"))</x:f>
        <x:v>1</x:v>
      </x:c>
    </x:row>
    <x:row r="215">
      <x:c r="A215" s="16" t="str">
        <x:v>South Dakota</x:v>
      </x:c>
      <x:c r="B215" s="16" t="str">
        <x:v>Mitchell</x:v>
      </x:c>
      <x:c r="C215" s="16" t="n">
        <x:v>-98.026</x:v>
      </x:c>
      <x:c r="D215" s="16" t="n">
        <x:v>43.714</x:v>
      </x:c>
      <x:c r="E215" s="16" t="str">
        <x:v>Corn Palace</x:v>
      </x:c>
      <x:c r="F215" s="16" t="str">
        <x:v>Families, roadside fans</x:v>
      </x:c>
      <x:c r="G215" s="16" t="str">
        <x:v>Changing corn murals turn a civic arena into a folk-art landmark.</x:v>
      </x:c>
      <x:c r="H215" s="16" t="str">
        <x:v>Roadside</x:v>
      </x:c>
      <x:c r="I215" s="16" t="str">
        <x:v>https://www.google.com/search?q=Corn%20Palace%20Mitchell%20South%20Dakota%20official%20website</x:v>
      </x:c>
      <x:c r="J215" s="16" t="str">
        <x:v>https://www.google.com/search?q=site%3Atravelsouthdakota.com%20Corn%20Palace</x:v>
      </x:c>
      <x:c r="K215" s="16" t="str">
        <x:v>https://www.google.com/search?q=Corn%20Palace%20Mitchell%20South%20Dakota%20visitor%20information</x:v>
      </x:c>
      <x:c r="L215" s="16" t="str">
        <x:v>https://www.google.com/search?q=Corn%20Palace%20Mitchell%20South%20Dakota%20photos</x:v>
      </x:c>
      <x:c r="M215" s="16" t="str">
        <x:v>https://www.google.com/search?q=Corn%20Palace%20Mitchell%20South%20Dakota%20wikipedia%20OR%20wikivoyage</x:v>
      </x:c>
      <x:c r="N215" s="16" t="str">
        <x:v>https://www.google.com/maps/search/?api=1&amp;query=Corn%20Palace%2C%20Mitchell%2C%20South%20Dakota</x:v>
      </x:c>
      <x:c r="O215" s="17" t="b">
        <x:v>1</x:v>
      </x:c>
      <x:c r="P215" s="16" t="b">
        <x:f>IFERROR(VLOOKUP(A215,States!$A$2:$B$18,2,FALSE),FALSE)</x:f>
        <x:v>1</x:v>
      </x:c>
      <x:c r="Q215" s="16" t="b">
        <x:f>AND(OR(O215=TRUE,O215="TRUE"),OR(P215=TRUE,P215="TRUE"))</x:f>
        <x:v>1</x:v>
      </x:c>
    </x:row>
    <x:row r="216">
      <x:c r="A216" s="16" t="str">
        <x:v>South Dakota</x:v>
      </x:c>
      <x:c r="B216" s="16" t="str">
        <x:v>Vermillion</x:v>
      </x:c>
      <x:c r="C216" s="16" t="n">
        <x:v>-96.925</x:v>
      </x:c>
      <x:c r="D216" s="16" t="n">
        <x:v>42.786</x:v>
      </x:c>
      <x:c r="E216" s="16" t="str">
        <x:v>National Music Museum</x:v>
      </x:c>
      <x:c r="F216" s="16" t="str">
        <x:v>Music fans, families</x:v>
      </x:c>
      <x:c r="G216" s="16" t="str">
        <x:v>A deep instrument collection spans cultures and centuries.</x:v>
      </x:c>
      <x:c r="H216" s="16" t="str">
        <x:v>Museum</x:v>
      </x:c>
      <x:c r="I216" s="16" t="str">
        <x:v>https://www.google.com/search?q=National%20Music%20Museum%20Vermillion%20South%20Dakota%20official%20website</x:v>
      </x:c>
      <x:c r="J216" s="16" t="str">
        <x:v>https://www.google.com/search?q=site%3Atravelsouthdakota.com%20National%20Music%20Museum</x:v>
      </x:c>
      <x:c r="K216" s="16" t="str">
        <x:v>https://www.google.com/search?q=National%20Music%20Museum%20Vermillion%20South%20Dakota%20visitor%20information</x:v>
      </x:c>
      <x:c r="L216" s="16" t="str">
        <x:v>https://www.google.com/search?q=National%20Music%20Museum%20Vermillion%20South%20Dakota%20photos</x:v>
      </x:c>
      <x:c r="M216" s="16" t="str">
        <x:v>https://www.google.com/search?q=National%20Music%20Museum%20Vermillion%20South%20Dakota%20wikipedia%20OR%20wikivoyage</x:v>
      </x:c>
      <x:c r="N216" s="16" t="str">
        <x:v>https://www.google.com/maps/search/?api=1&amp;query=National%20Music%20Museum%2C%20Vermillion%2C%20South%20Dakota</x:v>
      </x:c>
      <x:c r="O216" s="17" t="b">
        <x:v>1</x:v>
      </x:c>
      <x:c r="P216" s="16" t="b">
        <x:f>IFERROR(VLOOKUP(A216,States!$A$2:$B$18,2,FALSE),FALSE)</x:f>
        <x:v>1</x:v>
      </x:c>
      <x:c r="Q216" s="16" t="b">
        <x:f>AND(OR(O216=TRUE,O216="TRUE"),OR(P216=TRUE,P216="TRUE"))</x:f>
        <x:v>1</x:v>
      </x:c>
    </x:row>
    <x:row r="217">
      <x:c r="A217" s="16" t="str">
        <x:v>South Dakota</x:v>
      </x:c>
      <x:c r="B217" s="16" t="str">
        <x:v>Rapid City</x:v>
      </x:c>
      <x:c r="C217" s="16" t="n">
        <x:v>-103.059</x:v>
      </x:c>
      <x:c r="D217" s="16" t="n">
        <x:v>44.143</x:v>
      </x:c>
      <x:c r="E217" s="16" t="str">
        <x:v>South Dakota Air and Space Museum</x:v>
      </x:c>
      <x:c r="F217" s="16" t="str">
        <x:v>Aviation fans, families</x:v>
      </x:c>
      <x:c r="G217" s="16" t="str">
        <x:v>Aircraft and missile exhibits sit near Ellsworth Air Force Base.</x:v>
      </x:c>
      <x:c r="H217" s="16" t="str">
        <x:v>Museum</x:v>
      </x:c>
      <x:c r="I217" s="16" t="str">
        <x:v>https://www.google.com/search?q=South%20Dakota%20Air%20and%20Space%20Museum%20Rapid%20City%20South%20Dakota%20official%20website</x:v>
      </x:c>
      <x:c r="J217" s="16" t="str">
        <x:v>https://www.google.com/search?q=site%3Atravelsouthdakota.com%20South%20Dakota%20Air%20and%20Space%20Museum</x:v>
      </x:c>
      <x:c r="K217" s="16" t="str">
        <x:v>https://www.google.com/search?q=South%20Dakota%20Air%20and%20Space%20Museum%20Rapid%20City%20South%20Dakota%20visitor%20information</x:v>
      </x:c>
      <x:c r="L217" s="16" t="str">
        <x:v>https://www.google.com/search?q=South%20Dakota%20Air%20and%20Space%20Museum%20Rapid%20City%20South%20Dakota%20photos</x:v>
      </x:c>
      <x:c r="M217" s="16" t="str">
        <x:v>https://www.google.com/search?q=South%20Dakota%20Air%20and%20Space%20Museum%20Rapid%20City%20South%20Dakota%20wikipedia%20OR%20wikivoyage</x:v>
      </x:c>
      <x:c r="N217" s="16" t="str">
        <x:v>https://www.google.com/maps/search/?api=1&amp;query=South%20Dakota%20Air%20and%20Space%20Museum%2C%20Rapid%20City%2C%20South%20Dakota</x:v>
      </x:c>
      <x:c r="O217" s="17" t="b">
        <x:v>1</x:v>
      </x:c>
      <x:c r="P217" s="16" t="b">
        <x:f>IFERROR(VLOOKUP(A217,States!$A$2:$B$18,2,FALSE),FALSE)</x:f>
        <x:v>1</x:v>
      </x:c>
      <x:c r="Q217" s="16" t="b">
        <x:f>AND(OR(O217=TRUE,O217="TRUE"),OR(P217=TRUE,P217="TRUE"))</x:f>
        <x:v>1</x:v>
      </x:c>
    </x:row>
    <x:row r="218">
      <x:c r="A218" s="16" t="str">
        <x:v>South Dakota</x:v>
      </x:c>
      <x:c r="B218" s="16" t="str">
        <x:v>Sioux Falls</x:v>
      </x:c>
      <x:c r="C218" s="16" t="n">
        <x:v>-96.598</x:v>
      </x:c>
      <x:c r="D218" s="16" t="n">
        <x:v>43.489</x:v>
      </x:c>
      <x:c r="E218" s="16" t="str">
        <x:v>Good Earth State Park</x:v>
      </x:c>
      <x:c r="F218" s="16" t="str">
        <x:v>Hikers, history travelers</x:v>
      </x:c>
      <x:c r="G218" s="16" t="str">
        <x:v>Prairie trails preserve an important Oneota cultural landscape.</x:v>
      </x:c>
      <x:c r="H218" s="16" t="str">
        <x:v>Nature</x:v>
      </x:c>
      <x:c r="I218" s="16" t="str">
        <x:v>https://www.google.com/search?q=Good%20Earth%20State%20Park%20Sioux%20Falls%20South%20Dakota%20official%20website</x:v>
      </x:c>
      <x:c r="J218" s="16" t="str">
        <x:v>https://www.google.com/search?q=site%3Atravelsouthdakota.com%20Good%20Earth%20State%20Park</x:v>
      </x:c>
      <x:c r="K218" s="16" t="str">
        <x:v>https://www.google.com/search?q=Good%20Earth%20State%20Park%20Sioux%20Falls%20South%20Dakota%20visitor%20information</x:v>
      </x:c>
      <x:c r="L218" s="16" t="str">
        <x:v>https://www.google.com/search?q=Good%20Earth%20State%20Park%20Sioux%20Falls%20South%20Dakota%20photos</x:v>
      </x:c>
      <x:c r="M218" s="16" t="str">
        <x:v>https://www.google.com/search?q=Good%20Earth%20State%20Park%20Sioux%20Falls%20South%20Dakota%20wikipedia%20OR%20wikivoyage</x:v>
      </x:c>
      <x:c r="N218" s="16" t="str">
        <x:v>https://www.google.com/maps/search/?api=1&amp;query=Good%20Earth%20State%20Park%2C%20Sioux%20Falls%2C%20South%20Dakota</x:v>
      </x:c>
      <x:c r="O218" s="17" t="b">
        <x:v>1</x:v>
      </x:c>
      <x:c r="P218" s="16" t="b">
        <x:f>IFERROR(VLOOKUP(A218,States!$A$2:$B$18,2,FALSE),FALSE)</x:f>
        <x:v>1</x:v>
      </x:c>
      <x:c r="Q218" s="16" t="b">
        <x:f>AND(OR(O218=TRUE,O218="TRUE"),OR(P218=TRUE,P218="TRUE"))</x:f>
        <x:v>1</x:v>
      </x:c>
    </x:row>
    <x:row r="219">
      <x:c r="A219" s="16" t="str">
        <x:v>South Dakota</x:v>
      </x:c>
      <x:c r="B219" s="16" t="str">
        <x:v>De Smet</x:v>
      </x:c>
      <x:c r="C219" s="16" t="n">
        <x:v>-97.551</x:v>
      </x:c>
      <x:c r="D219" s="16" t="n">
        <x:v>44.386</x:v>
      </x:c>
      <x:c r="E219" s="16" t="str">
        <x:v>Ingalls Homestead</x:v>
      </x:c>
      <x:c r="F219" s="16" t="str">
        <x:v>Families, literature fans</x:v>
      </x:c>
      <x:c r="G219" s="16" t="str">
        <x:v>Hands-on pioneer activities connect to Laura Ingalls Wilder history.</x:v>
      </x:c>
      <x:c r="H219" s="16" t="str">
        <x:v>Living History</x:v>
      </x:c>
      <x:c r="I219" s="16" t="str">
        <x:v>https://www.google.com/search?q=Ingalls%20Homestead%20De%20Smet%20South%20Dakota%20official%20website</x:v>
      </x:c>
      <x:c r="J219" s="16" t="str">
        <x:v>https://www.google.com/search?q=site%3Atravelsouthdakota.com%20Ingalls%20Homestead</x:v>
      </x:c>
      <x:c r="K219" s="16" t="str">
        <x:v>https://www.google.com/search?q=Ingalls%20Homestead%20De%20Smet%20South%20Dakota%20visitor%20information</x:v>
      </x:c>
      <x:c r="L219" s="16" t="str">
        <x:v>https://www.google.com/search?q=Ingalls%20Homestead%20De%20Smet%20South%20Dakota%20photos</x:v>
      </x:c>
      <x:c r="M219" s="16" t="str">
        <x:v>https://www.google.com/search?q=Ingalls%20Homestead%20De%20Smet%20South%20Dakota%20wikipedia%20OR%20wikivoyage</x:v>
      </x:c>
      <x:c r="N219" s="16" t="str">
        <x:v>https://www.google.com/maps/search/?api=1&amp;query=Ingalls%20Homestead%2C%20De%20Smet%2C%20South%20Dakota</x:v>
      </x:c>
      <x:c r="O219" s="17" t="b">
        <x:v>1</x:v>
      </x:c>
      <x:c r="P219" s="16" t="b">
        <x:f>IFERROR(VLOOKUP(A219,States!$A$2:$B$18,2,FALSE),FALSE)</x:f>
        <x:v>1</x:v>
      </x:c>
      <x:c r="Q219" s="16" t="b">
        <x:f>AND(OR(O219=TRUE,O219="TRUE"),OR(P219=TRUE,P219="TRUE"))</x:f>
        <x:v>1</x:v>
      </x:c>
    </x:row>
    <x:row r="220">
      <x:c r="A220" s="16" t="str">
        <x:v>South Dakota</x:v>
      </x:c>
      <x:c r="B220" s="16" t="str">
        <x:v>Custer</x:v>
      </x:c>
      <x:c r="C220" s="16" t="n">
        <x:v>-103.564</x:v>
      </x:c>
      <x:c r="D220" s="16" t="n">
        <x:v>43.846</x:v>
      </x:c>
      <x:c r="E220" s="16" t="str">
        <x:v>Sylvan Lake</x:v>
      </x:c>
      <x:c r="F220" s="16" t="str">
        <x:v>Families, hikers, photographers</x:v>
      </x:c>
      <x:c r="G220" s="16" t="str">
        <x:v>Granite formations and clear water make a photogenic Black Hills stop.</x:v>
      </x:c>
      <x:c r="H220" s="16" t="str">
        <x:v>Nature</x:v>
      </x:c>
      <x:c r="I220" s="16" t="str">
        <x:v>https://www.google.com/search?q=Sylvan%20Lake%20Custer%20South%20Dakota%20official%20website</x:v>
      </x:c>
      <x:c r="J220" s="16" t="str">
        <x:v>https://www.google.com/search?q=site%3Atravelsouthdakota.com%20Sylvan%20Lake</x:v>
      </x:c>
      <x:c r="K220" s="16" t="str">
        <x:v>https://www.google.com/search?q=Sylvan%20Lake%20Custer%20South%20Dakota%20visitor%20information</x:v>
      </x:c>
      <x:c r="L220" s="16" t="str">
        <x:v>https://www.google.com/search?q=Sylvan%20Lake%20Custer%20South%20Dakota%20photos</x:v>
      </x:c>
      <x:c r="M220" s="16" t="str">
        <x:v>https://www.google.com/search?q=Sylvan%20Lake%20Custer%20South%20Dakota%20wikipedia%20OR%20wikivoyage</x:v>
      </x:c>
      <x:c r="N220" s="16" t="str">
        <x:v>https://www.google.com/maps/search/?api=1&amp;query=Sylvan%20Lake%2C%20Custer%2C%20South%20Dakota</x:v>
      </x:c>
      <x:c r="O220" s="17" t="b">
        <x:v>1</x:v>
      </x:c>
      <x:c r="P220" s="16" t="b">
        <x:f>IFERROR(VLOOKUP(A220,States!$A$2:$B$18,2,FALSE),FALSE)</x:f>
        <x:v>1</x:v>
      </x:c>
      <x:c r="Q220" s="16" t="b">
        <x:f>AND(OR(O220=TRUE,O220="TRUE"),OR(P220=TRUE,P220="TRUE"))</x:f>
        <x:v>1</x:v>
      </x:c>
    </x:row>
    <x:row r="221">
      <x:c r="A221" s="16" t="str">
        <x:v>South Dakota</x:v>
      </x:c>
      <x:c r="B221" s="16" t="str">
        <x:v>Yankton</x:v>
      </x:c>
      <x:c r="C221" s="16" t="n">
        <x:v>-97.48</x:v>
      </x:c>
      <x:c r="D221" s="16" t="n">
        <x:v>42.867</x:v>
      </x:c>
      <x:c r="E221" s="16" t="str">
        <x:v>Lewis and Clark Recreation Area</x:v>
      </x:c>
      <x:c r="F221" s="16" t="str">
        <x:v>Boaters, campers, families</x:v>
      </x:c>
      <x:c r="G221" s="16" t="str">
        <x:v>Missouri River reservoir recreation adds beaches, camping, and water sports.</x:v>
      </x:c>
      <x:c r="H221" s="16" t="str">
        <x:v>Waterfront</x:v>
      </x:c>
      <x:c r="I221" s="16" t="str">
        <x:v>https://www.google.com/search?q=Lewis%20and%20Clark%20Recreation%20Area%20Yankton%20South%20Dakota%20official%20website</x:v>
      </x:c>
      <x:c r="J221" s="16" t="str">
        <x:v>https://www.google.com/search?q=site%3Atravelsouthdakota.com%20Lewis%20and%20Clark%20Recreation%20Area</x:v>
      </x:c>
      <x:c r="K221" s="16" t="str">
        <x:v>https://www.google.com/search?q=Lewis%20and%20Clark%20Recreation%20Area%20Yankton%20South%20Dakota%20visitor%20information</x:v>
      </x:c>
      <x:c r="L221" s="16" t="str">
        <x:v>https://www.google.com/search?q=Lewis%20and%20Clark%20Recreation%20Area%20Yankton%20South%20Dakota%20photos</x:v>
      </x:c>
      <x:c r="M221" s="16" t="str">
        <x:v>https://www.google.com/search?q=Lewis%20and%20Clark%20Recreation%20Area%20Yankton%20South%20Dakota%20wikipedia%20OR%20wikivoyage</x:v>
      </x:c>
      <x:c r="N221" s="16" t="str">
        <x:v>https://www.google.com/maps/search/?api=1&amp;query=Lewis%20and%20Clark%20Recreation%20Area%2C%20Yankton%2C%20South%20Dakota</x:v>
      </x:c>
      <x:c r="O221" s="17" t="b">
        <x:v>1</x:v>
      </x:c>
      <x:c r="P221" s="16" t="b">
        <x:f>IFERROR(VLOOKUP(A221,States!$A$2:$B$18,2,FALSE),FALSE)</x:f>
        <x:v>1</x:v>
      </x:c>
      <x:c r="Q221" s="16" t="b">
        <x:f>AND(OR(O221=TRUE,O221="TRUE"),OR(P221=TRUE,P221="TRUE"))</x:f>
        <x:v>1</x:v>
      </x:c>
    </x:row>
    <x:row r="222">
      <x:c r="A222" s="16" t="str">
        <x:v>Montana</x:v>
      </x:c>
      <x:c r="B222" s="16" t="str">
        <x:v>West Glacier</x:v>
      </x:c>
      <x:c r="C222" s="16" t="n">
        <x:v>-113.718</x:v>
      </x:c>
      <x:c r="D222" s="16" t="n">
        <x:v>48.759</x:v>
      </x:c>
      <x:c r="E222" s="16" t="str">
        <x:v>Glacier National Park</x:v>
      </x:c>
      <x:c r="F222" s="16" t="str">
        <x:v>Hikers, photographers, families</x:v>
      </x:c>
      <x:c r="G222" s="16" t="str">
        <x:v>Alpine lakes, wildlife, and rugged peaks create a premier national park.</x:v>
      </x:c>
      <x:c r="H222" s="16" t="str">
        <x:v>National Park</x:v>
      </x:c>
      <x:c r="I222" s="16" t="str">
        <x:v>https://www.google.com/search?q=Glacier%20National%20Park%20West%20Glacier%20Montana%20official%20website</x:v>
      </x:c>
      <x:c r="J222" s="16" t="str">
        <x:v>https://www.google.com/search?q=site%3Avisitmt.com%20Glacier%20National%20Park</x:v>
      </x:c>
      <x:c r="K222" s="16" t="str">
        <x:v>https://www.google.com/search?q=Glacier%20National%20Park%20West%20Glacier%20Montana%20visitor%20information</x:v>
      </x:c>
      <x:c r="L222" s="16" t="str">
        <x:v>https://www.google.com/search?q=Glacier%20National%20Park%20West%20Glacier%20Montana%20photos</x:v>
      </x:c>
      <x:c r="M222" s="16" t="str">
        <x:v>https://www.google.com/search?q=site%3Anps.gov%20Glacier%20National%20Park</x:v>
      </x:c>
      <x:c r="N222" s="16" t="str">
        <x:v>https://www.google.com/maps/search/?api=1&amp;query=Glacier%20National%20Park%2C%20West%20Glacier%2C%20Montana</x:v>
      </x:c>
      <x:c r="O222" s="17" t="b">
        <x:v>1</x:v>
      </x:c>
      <x:c r="P222" s="16" t="b">
        <x:f>IFERROR(VLOOKUP(A222,States!$A$2:$B$18,2,FALSE),FALSE)</x:f>
        <x:v>1</x:v>
      </x:c>
      <x:c r="Q222" s="16" t="b">
        <x:f>AND(OR(O222=TRUE,O222="TRUE"),OR(P222=TRUE,P222="TRUE"))</x:f>
        <x:v>1</x:v>
      </x:c>
    </x:row>
    <x:row r="223">
      <x:c r="A223" s="16" t="str">
        <x:v>Montana</x:v>
      </x:c>
      <x:c r="B223" s="16" t="str">
        <x:v>Logan Pass</x:v>
      </x:c>
      <x:c r="C223" s="16" t="n">
        <x:v>-113.718</x:v>
      </x:c>
      <x:c r="D223" s="16" t="n">
        <x:v>48.696</x:v>
      </x:c>
      <x:c r="E223" s="16" t="str">
        <x:v>Going-to-the-Sun Road</x:v>
      </x:c>
      <x:c r="F223" s="16" t="str">
        <x:v>Scenic drivers, photographers</x:v>
      </x:c>
      <x:c r="G223" s="16" t="str">
        <x:v>A famous mountain road crosses Glacier's dramatic alpine terrain.</x:v>
      </x:c>
      <x:c r="H223" s="16" t="str">
        <x:v>Scenic Drive</x:v>
      </x:c>
      <x:c r="I223" s="16" t="str">
        <x:v>https://www.google.com/search?q=Going-to-the-Sun%20Road%20Logan%20Pass%20Montana%20official%20website</x:v>
      </x:c>
      <x:c r="J223" s="16" t="str">
        <x:v>https://www.google.com/search?q=site%3Avisitmt.com%20Going-to-the-Sun%20Road</x:v>
      </x:c>
      <x:c r="K223" s="16" t="str">
        <x:v>https://www.google.com/search?q=Going-to-the-Sun%20Road%20Logan%20Pass%20Montana%20visitor%20information</x:v>
      </x:c>
      <x:c r="L223" s="16" t="str">
        <x:v>https://www.google.com/search?q=Going-to-the-Sun%20Road%20Logan%20Pass%20Montana%20photos</x:v>
      </x:c>
      <x:c r="M223" s="16" t="str">
        <x:v>https://www.google.com/search?q=Going-to-the-Sun%20Road%20Logan%20Pass%20Montana%20wikipedia%20OR%20wikivoyage</x:v>
      </x:c>
      <x:c r="N223" s="16" t="str">
        <x:v>https://www.google.com/maps/search/?api=1&amp;query=Going-to-the-Sun%20Road%2C%20Logan%20Pass%2C%20Montana</x:v>
      </x:c>
      <x:c r="O223" s="17" t="b">
        <x:v>1</x:v>
      </x:c>
      <x:c r="P223" s="16" t="b">
        <x:f>IFERROR(VLOOKUP(A223,States!$A$2:$B$18,2,FALSE),FALSE)</x:f>
        <x:v>1</x:v>
      </x:c>
      <x:c r="Q223" s="16" t="b">
        <x:f>AND(OR(O223=TRUE,O223="TRUE"),OR(P223=TRUE,P223="TRUE"))</x:f>
        <x:v>1</x:v>
      </x:c>
    </x:row>
    <x:row r="224">
      <x:c r="A224" s="16" t="str">
        <x:v>Montana</x:v>
      </x:c>
      <x:c r="B224" s="16" t="str">
        <x:v>West Glacier</x:v>
      </x:c>
      <x:c r="C224" s="16" t="n">
        <x:v>-113.995</x:v>
      </x:c>
      <x:c r="D224" s="16" t="n">
        <x:v>48.61</x:v>
      </x:c>
      <x:c r="E224" s="16" t="str">
        <x:v>Lake McDonald</x:v>
      </x:c>
      <x:c r="F224" s="16" t="str">
        <x:v>Families, photographers, paddlers</x:v>
      </x:c>
      <x:c r="G224" s="16" t="str">
        <x:v>Clear water, colored stones, and mountain views define the west side.</x:v>
      </x:c>
      <x:c r="H224" s="16" t="str">
        <x:v>Nature</x:v>
      </x:c>
      <x:c r="I224" s="16" t="str">
        <x:v>https://www.google.com/search?q=Lake%20McDonald%20West%20Glacier%20Montana%20official%20website</x:v>
      </x:c>
      <x:c r="J224" s="16" t="str">
        <x:v>https://www.google.com/search?q=site%3Avisitmt.com%20Lake%20McDonald</x:v>
      </x:c>
      <x:c r="K224" s="16" t="str">
        <x:v>https://www.google.com/search?q=Lake%20McDonald%20West%20Glacier%20Montana%20visitor%20information</x:v>
      </x:c>
      <x:c r="L224" s="16" t="str">
        <x:v>https://www.google.com/search?q=Lake%20McDonald%20West%20Glacier%20Montana%20photos</x:v>
      </x:c>
      <x:c r="M224" s="16" t="str">
        <x:v>https://www.google.com/search?q=Lake%20McDonald%20West%20Glacier%20Montana%20wikipedia%20OR%20wikivoyage</x:v>
      </x:c>
      <x:c r="N224" s="16" t="str">
        <x:v>https://www.google.com/maps/search/?api=1&amp;query=Lake%20McDonald%2C%20West%20Glacier%2C%20Montana</x:v>
      </x:c>
      <x:c r="O224" s="17" t="b">
        <x:v>1</x:v>
      </x:c>
      <x:c r="P224" s="16" t="b">
        <x:f>IFERROR(VLOOKUP(A224,States!$A$2:$B$18,2,FALSE),FALSE)</x:f>
        <x:v>1</x:v>
      </x:c>
      <x:c r="Q224" s="16" t="b">
        <x:f>AND(OR(O224=TRUE,O224="TRUE"),OR(P224=TRUE,P224="TRUE"))</x:f>
        <x:v>1</x:v>
      </x:c>
    </x:row>
    <x:row r="225">
      <x:c r="A225" s="16" t="str">
        <x:v>Montana</x:v>
      </x:c>
      <x:c r="B225" s="16" t="str">
        <x:v>Bozeman</x:v>
      </x:c>
      <x:c r="C225" s="16" t="n">
        <x:v>-111.039</x:v>
      </x:c>
      <x:c r="D225" s="16" t="n">
        <x:v>45.658</x:v>
      </x:c>
      <x:c r="E225" s="16" t="str">
        <x:v>Museum of the Rockies</x:v>
      </x:c>
      <x:c r="F225" s="16" t="str">
        <x:v>Families, dinosaur fans</x:v>
      </x:c>
      <x:c r="G225" s="16" t="str">
        <x:v>Major dinosaur fossils and regional history make it a standout museum.</x:v>
      </x:c>
      <x:c r="H225" s="16" t="str">
        <x:v>Museum</x:v>
      </x:c>
      <x:c r="I225" s="16" t="str">
        <x:v>https://www.google.com/search?q=Museum%20of%20the%20Rockies%20Bozeman%20Montana%20official%20website</x:v>
      </x:c>
      <x:c r="J225" s="16" t="str">
        <x:v>https://www.google.com/search?q=site%3Avisitmt.com%20Museum%20of%20the%20Rockies</x:v>
      </x:c>
      <x:c r="K225" s="16" t="str">
        <x:v>https://www.google.com/search?q=Museum%20of%20the%20Rockies%20Bozeman%20Montana%20visitor%20information</x:v>
      </x:c>
      <x:c r="L225" s="16" t="str">
        <x:v>https://www.google.com/search?q=Museum%20of%20the%20Rockies%20Bozeman%20Montana%20photos</x:v>
      </x:c>
      <x:c r="M225" s="16" t="str">
        <x:v>https://www.google.com/search?q=Museum%20of%20the%20Rockies%20Bozeman%20Montana%20wikipedia%20OR%20wikivoyage</x:v>
      </x:c>
      <x:c r="N225" s="16" t="str">
        <x:v>https://www.google.com/maps/search/?api=1&amp;query=Museum%20of%20the%20Rockies%2C%20Bozeman%2C%20Montana</x:v>
      </x:c>
      <x:c r="O225" s="17" t="b">
        <x:v>1</x:v>
      </x:c>
      <x:c r="P225" s="16" t="b">
        <x:f>IFERROR(VLOOKUP(A225,States!$A$2:$B$18,2,FALSE),FALSE)</x:f>
        <x:v>1</x:v>
      </x:c>
      <x:c r="Q225" s="16" t="b">
        <x:f>AND(OR(O225=TRUE,O225="TRUE"),OR(P225=TRUE,P225="TRUE"))</x:f>
        <x:v>1</x:v>
      </x:c>
    </x:row>
    <x:row r="226">
      <x:c r="A226" s="16" t="str">
        <x:v>Montana</x:v>
      </x:c>
      <x:c r="B226" s="16" t="str">
        <x:v>Crow Agency</x:v>
      </x:c>
      <x:c r="C226" s="16" t="n">
        <x:v>-107.427</x:v>
      </x:c>
      <x:c r="D226" s="16" t="n">
        <x:v>45.57</x:v>
      </x:c>
      <x:c r="E226" s="16" t="str">
        <x:v>Little Bighorn Battlefield National Monument</x:v>
      </x:c>
      <x:c r="F226" s="16" t="str">
        <x:v>History travelers, students</x:v>
      </x:c>
      <x:c r="G226" s="16" t="str">
        <x:v>The battlefield interprets a consequential Plains conflict from multiple perspectives.</x:v>
      </x:c>
      <x:c r="H226" s="16" t="str">
        <x:v>Historic Site</x:v>
      </x:c>
      <x:c r="I226" s="16" t="str">
        <x:v>https://www.google.com/search?q=Little%20Bighorn%20Battlefield%20National%20Monument%20Crow%20Agency%20Montana%20official%20website</x:v>
      </x:c>
      <x:c r="J226" s="16" t="str">
        <x:v>https://www.google.com/search?q=site%3Avisitmt.com%20Little%20Bighorn%20Battlefield%20National%20Monument</x:v>
      </x:c>
      <x:c r="K226" s="16" t="str">
        <x:v>https://www.google.com/search?q=Little%20Bighorn%20Battlefield%20National%20Monument%20Crow%20Agency%20Montana%20visitor%20information</x:v>
      </x:c>
      <x:c r="L226" s="16" t="str">
        <x:v>https://www.google.com/search?q=Little%20Bighorn%20Battlefield%20National%20Monument%20Crow%20Agency%20Montana%20photos</x:v>
      </x:c>
      <x:c r="M226" s="16" t="str">
        <x:v>https://www.google.com/search?q=Little%20Bighorn%20Battlefield%20National%20Monument%20Crow%20Agency%20Montana%20wikipedia%20OR%20wikivoyage</x:v>
      </x:c>
      <x:c r="N226" s="16" t="str">
        <x:v>https://www.google.com/maps/search/?api=1&amp;query=Little%20Bighorn%20Battlefield%20National%20Monument%2C%20Crow%20Agency%2C%20Montana</x:v>
      </x:c>
      <x:c r="O226" s="17" t="b">
        <x:v>1</x:v>
      </x:c>
      <x:c r="P226" s="16" t="b">
        <x:f>IFERROR(VLOOKUP(A226,States!$A$2:$B$18,2,FALSE),FALSE)</x:f>
        <x:v>1</x:v>
      </x:c>
      <x:c r="Q226" s="16" t="b">
        <x:f>AND(OR(O226=TRUE,O226="TRUE"),OR(P226=TRUE,P226="TRUE"))</x:f>
        <x:v>1</x:v>
      </x:c>
    </x:row>
    <x:row r="227">
      <x:c r="A227" s="16" t="str">
        <x:v>Montana</x:v>
      </x:c>
      <x:c r="B227" s="16" t="str">
        <x:v>West Yellowstone</x:v>
      </x:c>
      <x:c r="C227" s="16" t="n">
        <x:v>-111.104</x:v>
      </x:c>
      <x:c r="D227" s="16" t="n">
        <x:v>44.662</x:v>
      </x:c>
      <x:c r="E227" s="16" t="str">
        <x:v>Grizzly and Wolf Discovery Center</x:v>
      </x:c>
      <x:c r="F227" s="16" t="str">
        <x:v>Families, wildlife fans</x:v>
      </x:c>
      <x:c r="G227" s="16" t="str">
        <x:v>Up-close wildlife education complements a Yellowstone gateway visit.</x:v>
      </x:c>
      <x:c r="H227" s="16" t="str">
        <x:v>Wildlife</x:v>
      </x:c>
      <x:c r="I227" s="16" t="str">
        <x:v>https://www.google.com/search?q=Grizzly%20and%20Wolf%20Discovery%20Center%20West%20Yellowstone%20Montana%20official%20website</x:v>
      </x:c>
      <x:c r="J227" s="16" t="str">
        <x:v>https://www.google.com/search?q=site%3Avisitmt.com%20Grizzly%20and%20Wolf%20Discovery%20Center</x:v>
      </x:c>
      <x:c r="K227" s="16" t="str">
        <x:v>https://www.google.com/search?q=Grizzly%20and%20Wolf%20Discovery%20Center%20West%20Yellowstone%20Montana%20visitor%20information</x:v>
      </x:c>
      <x:c r="L227" s="16" t="str">
        <x:v>https://www.google.com/search?q=Grizzly%20and%20Wolf%20Discovery%20Center%20West%20Yellowstone%20Montana%20photos</x:v>
      </x:c>
      <x:c r="M227" s="16" t="str">
        <x:v>https://www.google.com/search?q=Grizzly%20and%20Wolf%20Discovery%20Center%20West%20Yellowstone%20Montana%20wikipedia%20OR%20wikivoyage</x:v>
      </x:c>
      <x:c r="N227" s="16" t="str">
        <x:v>https://www.google.com/maps/search/?api=1&amp;query=Grizzly%20and%20Wolf%20Discovery%20Center%2C%20West%20Yellowstone%2C%20Montana</x:v>
      </x:c>
      <x:c r="O227" s="17" t="b">
        <x:v>1</x:v>
      </x:c>
      <x:c r="P227" s="16" t="b">
        <x:f>IFERROR(VLOOKUP(A227,States!$A$2:$B$18,2,FALSE),FALSE)</x:f>
        <x:v>1</x:v>
      </x:c>
      <x:c r="Q227" s="16" t="b">
        <x:f>AND(OR(O227=TRUE,O227="TRUE"),OR(P227=TRUE,P227="TRUE"))</x:f>
        <x:v>1</x:v>
      </x:c>
    </x:row>
    <x:row r="228">
      <x:c r="A228" s="16" t="str">
        <x:v>Montana</x:v>
      </x:c>
      <x:c r="B228" s="16" t="str">
        <x:v>Whitehall</x:v>
      </x:c>
      <x:c r="C228" s="16" t="n">
        <x:v>-111.868</x:v>
      </x:c>
      <x:c r="D228" s="16" t="n">
        <x:v>45.838</x:v>
      </x:c>
      <x:c r="E228" s="16" t="str">
        <x:v>Lewis and Clark Caverns State Park</x:v>
      </x:c>
      <x:c r="F228" s="16" t="str">
        <x:v>Families, cave fans</x:v>
      </x:c>
      <x:c r="G228" s="16" t="str">
        <x:v>Guided cave tours and hillside trails make a strong detour.</x:v>
      </x:c>
      <x:c r="H228" s="16" t="str">
        <x:v>Cave</x:v>
      </x:c>
      <x:c r="I228" s="16" t="str">
        <x:v>https://www.google.com/search?q=Lewis%20and%20Clark%20Caverns%20State%20Park%20Whitehall%20Montana%20official%20website</x:v>
      </x:c>
      <x:c r="J228" s="16" t="str">
        <x:v>https://www.google.com/search?q=site%3Avisitmt.com%20Lewis%20and%20Clark%20Caverns%20State%20Park</x:v>
      </x:c>
      <x:c r="K228" s="16" t="str">
        <x:v>https://www.google.com/search?q=Lewis%20and%20Clark%20Caverns%20State%20Park%20Whitehall%20Montana%20visitor%20information</x:v>
      </x:c>
      <x:c r="L228" s="16" t="str">
        <x:v>https://www.google.com/search?q=Lewis%20and%20Clark%20Caverns%20State%20Park%20Whitehall%20Montana%20photos</x:v>
      </x:c>
      <x:c r="M228" s="16" t="str">
        <x:v>https://www.google.com/search?q=Lewis%20and%20Clark%20Caverns%20State%20Park%20Whitehall%20Montana%20wikipedia%20OR%20wikivoyage</x:v>
      </x:c>
      <x:c r="N228" s="16" t="str">
        <x:v>https://www.google.com/maps/search/?api=1&amp;query=Lewis%20and%20Clark%20Caverns%20State%20Park%2C%20Whitehall%2C%20Montana</x:v>
      </x:c>
      <x:c r="O228" s="17" t="b">
        <x:v>1</x:v>
      </x:c>
      <x:c r="P228" s="16" t="b">
        <x:f>IFERROR(VLOOKUP(A228,States!$A$2:$B$18,2,FALSE),FALSE)</x:f>
        <x:v>1</x:v>
      </x:c>
      <x:c r="Q228" s="16" t="b">
        <x:f>AND(OR(O228=TRUE,O228="TRUE"),OR(P228=TRUE,P228="TRUE"))</x:f>
        <x:v>1</x:v>
      </x:c>
    </x:row>
    <x:row r="229">
      <x:c r="A229" s="16" t="str">
        <x:v>Montana</x:v>
      </x:c>
      <x:c r="B229" s="16" t="str">
        <x:v>Red Lodge</x:v>
      </x:c>
      <x:c r="C229" s="16" t="n">
        <x:v>-109.413</x:v>
      </x:c>
      <x:c r="D229" s="16" t="n">
        <x:v>45.019</x:v>
      </x:c>
      <x:c r="E229" s="16" t="str">
        <x:v>Beartooth Highway</x:v>
      </x:c>
      <x:c r="F229" s="16" t="str">
        <x:v>Scenic drivers, motorcyclists, photographers</x:v>
      </x:c>
      <x:c r="G229" s="16" t="str">
        <x:v>High alpine switchbacks and views create one of America's great drives.</x:v>
      </x:c>
      <x:c r="H229" s="16" t="str">
        <x:v>Scenic Drive</x:v>
      </x:c>
      <x:c r="I229" s="16" t="str">
        <x:v>https://www.google.com/search?q=Beartooth%20Highway%20Red%20Lodge%20Montana%20official%20website</x:v>
      </x:c>
      <x:c r="J229" s="16" t="str">
        <x:v>https://www.google.com/search?q=site%3Avisitmt.com%20Beartooth%20Highway</x:v>
      </x:c>
      <x:c r="K229" s="16" t="str">
        <x:v>https://www.google.com/search?q=Beartooth%20Highway%20Red%20Lodge%20Montana%20visitor%20information</x:v>
      </x:c>
      <x:c r="L229" s="16" t="str">
        <x:v>https://www.google.com/search?q=Beartooth%20Highway%20Red%20Lodge%20Montana%20photos</x:v>
      </x:c>
      <x:c r="M229" s="16" t="str">
        <x:v>https://www.google.com/search?q=Beartooth%20Highway%20Red%20Lodge%20Montana%20wikipedia%20OR%20wikivoyage</x:v>
      </x:c>
      <x:c r="N229" s="16" t="str">
        <x:v>https://www.google.com/maps/search/?api=1&amp;query=Beartooth%20Highway%2C%20Red%20Lodge%2C%20Montana</x:v>
      </x:c>
      <x:c r="O229" s="17" t="b">
        <x:v>1</x:v>
      </x:c>
      <x:c r="P229" s="16" t="b">
        <x:f>IFERROR(VLOOKUP(A229,States!$A$2:$B$18,2,FALSE),FALSE)</x:f>
        <x:v>1</x:v>
      </x:c>
      <x:c r="Q229" s="16" t="b">
        <x:f>AND(OR(O229=TRUE,O229="TRUE"),OR(P229=TRUE,P229="TRUE"))</x:f>
        <x:v>1</x:v>
      </x:c>
    </x:row>
    <x:row r="230">
      <x:c r="A230" s="16" t="str">
        <x:v>Montana</x:v>
      </x:c>
      <x:c r="B230" s="16" t="str">
        <x:v>Big Sky</x:v>
      </x:c>
      <x:c r="C230" s="16" t="n">
        <x:v>-111.401</x:v>
      </x:c>
      <x:c r="D230" s="16" t="n">
        <x:v>45.285</x:v>
      </x:c>
      <x:c r="E230" s="16" t="str">
        <x:v>Big Sky Resort</x:v>
      </x:c>
      <x:c r="F230" s="16" t="str">
        <x:v>Skiers, mountain bikers, families</x:v>
      </x:c>
      <x:c r="G230" s="16" t="str">
        <x:v>Large-mountain terrain gives winter and summer travelers a resort base.</x:v>
      </x:c>
      <x:c r="H230" s="16" t="str">
        <x:v>Resort</x:v>
      </x:c>
      <x:c r="I230" s="16" t="str">
        <x:v>https://www.google.com/search?q=Big%20Sky%20Resort%20Big%20Sky%20Montana%20official%20website</x:v>
      </x:c>
      <x:c r="J230" s="16" t="str">
        <x:v>https://www.google.com/search?q=site%3Avisitmt.com%20Big%20Sky%20Resort</x:v>
      </x:c>
      <x:c r="K230" s="16" t="str">
        <x:v>https://www.google.com/search?q=Big%20Sky%20Resort%20Big%20Sky%20Montana%20visitor%20information</x:v>
      </x:c>
      <x:c r="L230" s="16" t="str">
        <x:v>https://www.google.com/search?q=Big%20Sky%20Resort%20Big%20Sky%20Montana%20photos</x:v>
      </x:c>
      <x:c r="M230" s="16" t="str">
        <x:v>https://www.google.com/search?q=Big%20Sky%20Resort%20Big%20Sky%20Montana%20wikipedia%20OR%20wikivoyage</x:v>
      </x:c>
      <x:c r="N230" s="16" t="str">
        <x:v>https://www.google.com/maps/search/?api=1&amp;query=Big%20Sky%20Resort%2C%20Big%20Sky%2C%20Montana</x:v>
      </x:c>
      <x:c r="O230" s="17" t="b">
        <x:v>1</x:v>
      </x:c>
      <x:c r="P230" s="16" t="b">
        <x:f>IFERROR(VLOOKUP(A230,States!$A$2:$B$18,2,FALSE),FALSE)</x:f>
        <x:v>1</x:v>
      </x:c>
      <x:c r="Q230" s="16" t="b">
        <x:f>AND(OR(O230=TRUE,O230="TRUE"),OR(P230=TRUE,P230="TRUE"))</x:f>
        <x:v>1</x:v>
      </x:c>
    </x:row>
    <x:row r="231">
      <x:c r="A231" s="16" t="str">
        <x:v>Montana</x:v>
      </x:c>
      <x:c r="B231" s="16" t="str">
        <x:v>Helena</x:v>
      </x:c>
      <x:c r="C231" s="16" t="n">
        <x:v>-112.018</x:v>
      </x:c>
      <x:c r="D231" s="16" t="n">
        <x:v>46.586</x:v>
      </x:c>
      <x:c r="E231" s="16" t="str">
        <x:v>Montana State Capitol</x:v>
      </x:c>
      <x:c r="F231" s="16" t="str">
        <x:v>Architecture fans, history travelers</x:v>
      </x:c>
      <x:c r="G231" s="16" t="str">
        <x:v>Murals, civic architecture, and Helena history make an easy stop.</x:v>
      </x:c>
      <x:c r="H231" s="16" t="str">
        <x:v>Architecture</x:v>
      </x:c>
      <x:c r="I231" s="16" t="str">
        <x:v>https://www.google.com/search?q=Montana%20State%20Capitol%20Helena%20Montana%20official%20website</x:v>
      </x:c>
      <x:c r="J231" s="16" t="str">
        <x:v>https://www.google.com/search?q=site%3Avisitmt.com%20Montana%20State%20Capitol</x:v>
      </x:c>
      <x:c r="K231" s="16" t="str">
        <x:v>https://www.google.com/search?q=Montana%20State%20Capitol%20Helena%20Montana%20visitor%20information</x:v>
      </x:c>
      <x:c r="L231" s="16" t="str">
        <x:v>https://www.google.com/search?q=Montana%20State%20Capitol%20Helena%20Montana%20photos</x:v>
      </x:c>
      <x:c r="M231" s="16" t="str">
        <x:v>https://www.google.com/search?q=Montana%20State%20Capitol%20Helena%20Montana%20wikipedia%20OR%20wikivoyage</x:v>
      </x:c>
      <x:c r="N231" s="16" t="str">
        <x:v>https://www.google.com/maps/search/?api=1&amp;query=Montana%20State%20Capitol%2C%20Helena%2C%20Montana</x:v>
      </x:c>
      <x:c r="O231" s="17" t="b">
        <x:v>1</x:v>
      </x:c>
      <x:c r="P231" s="16" t="b">
        <x:f>IFERROR(VLOOKUP(A231,States!$A$2:$B$18,2,FALSE),FALSE)</x:f>
        <x:v>1</x:v>
      </x:c>
      <x:c r="Q231" s="16" t="b">
        <x:f>AND(OR(O231=TRUE,O231="TRUE"),OR(P231=TRUE,P231="TRUE"))</x:f>
        <x:v>1</x:v>
      </x:c>
    </x:row>
    <x:row r="232">
      <x:c r="A232" s="16" t="str">
        <x:v>Montana</x:v>
      </x:c>
      <x:c r="B232" s="16" t="str">
        <x:v>Helena</x:v>
      </x:c>
      <x:c r="C232" s="16" t="n">
        <x:v>-111.943</x:v>
      </x:c>
      <x:c r="D232" s="16" t="n">
        <x:v>46.743</x:v>
      </x:c>
      <x:c r="E232" s="16" t="str">
        <x:v>Gates of the Mountains</x:v>
      </x:c>
      <x:c r="F232" s="16" t="str">
        <x:v>Boaters, photographers, history fans</x:v>
      </x:c>
      <x:c r="G232" s="16" t="str">
        <x:v>Missouri River canyon boat tours follow Lewis and Clark scenery.</x:v>
      </x:c>
      <x:c r="H232" s="16" t="str">
        <x:v>Waterfront</x:v>
      </x:c>
      <x:c r="I232" s="16" t="str">
        <x:v>https://www.google.com/search?q=Gates%20of%20the%20Mountains%20Helena%20Montana%20official%20website</x:v>
      </x:c>
      <x:c r="J232" s="16" t="str">
        <x:v>https://www.google.com/search?q=site%3Avisitmt.com%20Gates%20of%20the%20Mountains</x:v>
      </x:c>
      <x:c r="K232" s="16" t="str">
        <x:v>https://www.google.com/search?q=Gates%20of%20the%20Mountains%20Helena%20Montana%20visitor%20information</x:v>
      </x:c>
      <x:c r="L232" s="16" t="str">
        <x:v>https://www.google.com/search?q=Gates%20of%20the%20Mountains%20Helena%20Montana%20photos</x:v>
      </x:c>
      <x:c r="M232" s="16" t="str">
        <x:v>https://www.google.com/search?q=Gates%20of%20the%20Mountains%20Helena%20Montana%20wikipedia%20OR%20wikivoyage</x:v>
      </x:c>
      <x:c r="N232" s="16" t="str">
        <x:v>https://www.google.com/maps/search/?api=1&amp;query=Gates%20of%20the%20Mountains%2C%20Helena%2C%20Montana</x:v>
      </x:c>
      <x:c r="O232" s="17" t="b">
        <x:v>1</x:v>
      </x:c>
      <x:c r="P232" s="16" t="b">
        <x:f>IFERROR(VLOOKUP(A232,States!$A$2:$B$18,2,FALSE),FALSE)</x:f>
        <x:v>1</x:v>
      </x:c>
      <x:c r="Q232" s="16" t="b">
        <x:f>AND(OR(O232=TRUE,O232="TRUE"),OR(P232=TRUE,P232="TRUE"))</x:f>
        <x:v>1</x:v>
      </x:c>
    </x:row>
    <x:row r="233">
      <x:c r="A233" s="16" t="str">
        <x:v>Montana</x:v>
      </x:c>
      <x:c r="B233" s="16" t="str">
        <x:v>Arlee</x:v>
      </x:c>
      <x:c r="C233" s="16" t="n">
        <x:v>-114.079</x:v>
      </x:c>
      <x:c r="D233" s="16" t="n">
        <x:v>47.171</x:v>
      </x:c>
      <x:c r="E233" s="16" t="str">
        <x:v>Garden of One Thousand Buddhas</x:v>
      </x:c>
      <x:c r="F233" s="16" t="str">
        <x:v>Culture travelers, photographers</x:v>
      </x:c>
      <x:c r="G233" s="16" t="str">
        <x:v>A peaceful sculpture garden rises unexpectedly in the Jocko Valley.</x:v>
      </x:c>
      <x:c r="H233" s="16" t="str">
        <x:v>Cultural Site</x:v>
      </x:c>
      <x:c r="I233" s="16" t="str">
        <x:v>https://www.google.com/search?q=Garden%20of%20One%20Thousand%20Buddhas%20Arlee%20Montana%20official%20website</x:v>
      </x:c>
      <x:c r="J233" s="16" t="str">
        <x:v>https://www.google.com/search?q=site%3Avisitmt.com%20Garden%20of%20One%20Thousand%20Buddhas</x:v>
      </x:c>
      <x:c r="K233" s="16" t="str">
        <x:v>https://www.google.com/search?q=Garden%20of%20One%20Thousand%20Buddhas%20Arlee%20Montana%20visitor%20information</x:v>
      </x:c>
      <x:c r="L233" s="16" t="str">
        <x:v>https://www.google.com/search?q=Garden%20of%20One%20Thousand%20Buddhas%20Arlee%20Montana%20photos</x:v>
      </x:c>
      <x:c r="M233" s="16" t="str">
        <x:v>https://www.google.com/search?q=Garden%20of%20One%20Thousand%20Buddhas%20Arlee%20Montana%20wikipedia%20OR%20wikivoyage</x:v>
      </x:c>
      <x:c r="N233" s="16" t="str">
        <x:v>https://www.google.com/maps/search/?api=1&amp;query=Garden%20of%20One%20Thousand%20Buddhas%2C%20Arlee%2C%20Montana</x:v>
      </x:c>
      <x:c r="O233" s="17" t="b">
        <x:v>1</x:v>
      </x:c>
      <x:c r="P233" s="16" t="b">
        <x:f>IFERROR(VLOOKUP(A233,States!$A$2:$B$18,2,FALSE),FALSE)</x:f>
        <x:v>1</x:v>
      </x:c>
      <x:c r="Q233" s="16" t="b">
        <x:f>AND(OR(O233=TRUE,O233="TRUE"),OR(P233=TRUE,P233="TRUE"))</x:f>
        <x:v>1</x:v>
      </x:c>
    </x:row>
    <x:row r="234">
      <x:c r="A234" s="16" t="str">
        <x:v>Montana</x:v>
      </x:c>
      <x:c r="B234" s="16" t="str">
        <x:v>Great Falls</x:v>
      </x:c>
      <x:c r="C234" s="16" t="n">
        <x:v>-111.292</x:v>
      </x:c>
      <x:c r="D234" s="16" t="n">
        <x:v>47.511</x:v>
      </x:c>
      <x:c r="E234" s="16" t="str">
        <x:v>C.M. Russell Museum</x:v>
      </x:c>
      <x:c r="F234" s="16" t="str">
        <x:v>Art lovers, western-history fans</x:v>
      </x:c>
      <x:c r="G234" s="16" t="str">
        <x:v>Western art and Russell's studio illuminate Montana's visual heritage.</x:v>
      </x:c>
      <x:c r="H234" s="16" t="str">
        <x:v>Museum</x:v>
      </x:c>
      <x:c r="I234" s="16" t="str">
        <x:v>https://www.google.com/search?q=C.M.%20Russell%20Museum%20Great%20Falls%20Montana%20official%20website</x:v>
      </x:c>
      <x:c r="J234" s="16" t="str">
        <x:v>https://www.google.com/search?q=site%3Avisitmt.com%20C.M.%20Russell%20Museum</x:v>
      </x:c>
      <x:c r="K234" s="16" t="str">
        <x:v>https://www.google.com/search?q=C.M.%20Russell%20Museum%20Great%20Falls%20Montana%20visitor%20information</x:v>
      </x:c>
      <x:c r="L234" s="16" t="str">
        <x:v>https://www.google.com/search?q=C.M.%20Russell%20Museum%20Great%20Falls%20Montana%20photos</x:v>
      </x:c>
      <x:c r="M234" s="16" t="str">
        <x:v>https://www.google.com/search?q=C.M.%20Russell%20Museum%20Great%20Falls%20Montana%20wikipedia%20OR%20wikivoyage</x:v>
      </x:c>
      <x:c r="N234" s="16" t="str">
        <x:v>https://www.google.com/maps/search/?api=1&amp;query=C.M.%20Russell%20Museum%2C%20Great%20Falls%2C%20Montana</x:v>
      </x:c>
      <x:c r="O234" s="17" t="b">
        <x:v>1</x:v>
      </x:c>
      <x:c r="P234" s="16" t="b">
        <x:f>IFERROR(VLOOKUP(A234,States!$A$2:$B$18,2,FALSE),FALSE)</x:f>
        <x:v>1</x:v>
      </x:c>
      <x:c r="Q234" s="16" t="b">
        <x:f>AND(OR(O234=TRUE,O234="TRUE"),OR(P234=TRUE,P234="TRUE"))</x:f>
        <x:v>1</x:v>
      </x:c>
    </x:row>
    <x:row r="235">
      <x:c r="A235" s="16" t="str">
        <x:v>Montana</x:v>
      </x:c>
      <x:c r="B235" s="16" t="str">
        <x:v>Virginia City</x:v>
      </x:c>
      <x:c r="C235" s="16" t="n">
        <x:v>-111.946</x:v>
      </x:c>
      <x:c r="D235" s="16" t="n">
        <x:v>45.294</x:v>
      </x:c>
      <x:c r="E235" s="16" t="str">
        <x:v>Virginia City and Nevada City</x:v>
      </x:c>
      <x:c r="F235" s="16" t="str">
        <x:v>History travelers, families</x:v>
      </x:c>
      <x:c r="G235" s="16" t="str">
        <x:v>Preserved gold-rush streets make an atmospheric living-history stop.</x:v>
      </x:c>
      <x:c r="H235" s="16" t="str">
        <x:v>Historic Site</x:v>
      </x:c>
      <x:c r="I235" s="16" t="str">
        <x:v>https://www.google.com/search?q=Virginia%20City%20and%20Nevada%20City%20Virginia%20City%20Montana%20official%20website</x:v>
      </x:c>
      <x:c r="J235" s="16" t="str">
        <x:v>https://www.google.com/search?q=site%3Avisitmt.com%20Virginia%20City%20and%20Nevada%20City</x:v>
      </x:c>
      <x:c r="K235" s="16" t="str">
        <x:v>https://www.google.com/search?q=Virginia%20City%20and%20Nevada%20City%20Virginia%20City%20Montana%20visitor%20information</x:v>
      </x:c>
      <x:c r="L235" s="16" t="str">
        <x:v>https://www.google.com/search?q=Virginia%20City%20and%20Nevada%20City%20Virginia%20City%20Montana%20photos</x:v>
      </x:c>
      <x:c r="M235" s="16" t="str">
        <x:v>https://www.google.com/search?q=Virginia%20City%20and%20Nevada%20City%20Virginia%20City%20Montana%20wikipedia%20OR%20wikivoyage</x:v>
      </x:c>
      <x:c r="N235" s="16" t="str">
        <x:v>https://www.google.com/maps/search/?api=1&amp;query=Virginia%20City%20and%20Nevada%20City%2C%20Virginia%20City%2C%20Montana</x:v>
      </x:c>
      <x:c r="O235" s="17" t="b">
        <x:v>1</x:v>
      </x:c>
      <x:c r="P235" s="16" t="b">
        <x:f>IFERROR(VLOOKUP(A235,States!$A$2:$B$18,2,FALSE),FALSE)</x:f>
        <x:v>1</x:v>
      </x:c>
      <x:c r="Q235" s="16" t="b">
        <x:f>AND(OR(O235=TRUE,O235="TRUE"),OR(P235=TRUE,P235="TRUE"))</x:f>
        <x:v>1</x:v>
      </x:c>
    </x:row>
    <x:row r="236">
      <x:c r="A236" s="16" t="str">
        <x:v>Montana</x:v>
      </x:c>
      <x:c r="B236" s="16" t="str">
        <x:v>Whitefish</x:v>
      </x:c>
      <x:c r="C236" s="16" t="n">
        <x:v>-114.356</x:v>
      </x:c>
      <x:c r="D236" s="16" t="n">
        <x:v>48.481</x:v>
      </x:c>
      <x:c r="E236" s="16" t="str">
        <x:v>Whitefish Mountain Resort</x:v>
      </x:c>
      <x:c r="F236" s="16" t="str">
        <x:v>Skiers, hikers, families</x:v>
      </x:c>
      <x:c r="G236" s="16" t="str">
        <x:v>Mountain recreation pairs with a lively town near Glacier.</x:v>
      </x:c>
      <x:c r="H236" s="16" t="str">
        <x:v>Resort</x:v>
      </x:c>
      <x:c r="I236" s="16" t="str">
        <x:v>https://www.google.com/search?q=Whitefish%20Mountain%20Resort%20Whitefish%20Montana%20official%20website</x:v>
      </x:c>
      <x:c r="J236" s="16" t="str">
        <x:v>https://www.google.com/search?q=site%3Avisitmt.com%20Whitefish%20Mountain%20Resort</x:v>
      </x:c>
      <x:c r="K236" s="16" t="str">
        <x:v>https://www.google.com/search?q=Whitefish%20Mountain%20Resort%20Whitefish%20Montana%20visitor%20information</x:v>
      </x:c>
      <x:c r="L236" s="16" t="str">
        <x:v>https://www.google.com/search?q=Whitefish%20Mountain%20Resort%20Whitefish%20Montana%20photos</x:v>
      </x:c>
      <x:c r="M236" s="16" t="str">
        <x:v>https://www.google.com/search?q=Whitefish%20Mountain%20Resort%20Whitefish%20Montana%20wikipedia%20OR%20wikivoyage</x:v>
      </x:c>
      <x:c r="N236" s="16" t="str">
        <x:v>https://www.google.com/maps/search/?api=1&amp;query=Whitefish%20Mountain%20Resort%2C%20Whitefish%2C%20Montana</x:v>
      </x:c>
      <x:c r="O236" s="17" t="b">
        <x:v>1</x:v>
      </x:c>
      <x:c r="P236" s="16" t="b">
        <x:f>IFERROR(VLOOKUP(A236,States!$A$2:$B$18,2,FALSE),FALSE)</x:f>
        <x:v>1</x:v>
      </x:c>
      <x:c r="Q236" s="16" t="b">
        <x:f>AND(OR(O236=TRUE,O236="TRUE"),OR(P236=TRUE,P236="TRUE"))</x:f>
        <x:v>1</x:v>
      </x:c>
    </x:row>
    <x:row r="237">
      <x:c r="A237" s="16" t="str">
        <x:v>Montana</x:v>
      </x:c>
      <x:c r="B237" s="16" t="str">
        <x:v>Glendive</x:v>
      </x:c>
      <x:c r="C237" s="16" t="n">
        <x:v>-104.718</x:v>
      </x:c>
      <x:c r="D237" s="16" t="n">
        <x:v>47.069</x:v>
      </x:c>
      <x:c r="E237" s="16" t="str">
        <x:v>Makoshika State Park</x:v>
      </x:c>
      <x:c r="F237" s="16" t="str">
        <x:v>Hikers, fossil fans, photographers</x:v>
      </x:c>
      <x:c r="G237" s="16" t="str">
        <x:v>Badlands formations and dinosaur fossils fill Montana's largest state park.</x:v>
      </x:c>
      <x:c r="H237" s="16" t="str">
        <x:v>Nature</x:v>
      </x:c>
      <x:c r="I237" s="16" t="str">
        <x:v>https://www.google.com/search?q=Makoshika%20State%20Park%20Glendive%20Montana%20official%20website</x:v>
      </x:c>
      <x:c r="J237" s="16" t="str">
        <x:v>https://www.google.com/search?q=site%3Avisitmt.com%20Makoshika%20State%20Park</x:v>
      </x:c>
      <x:c r="K237" s="16" t="str">
        <x:v>https://www.google.com/search?q=Makoshika%20State%20Park%20Glendive%20Montana%20visitor%20information</x:v>
      </x:c>
      <x:c r="L237" s="16" t="str">
        <x:v>https://www.google.com/search?q=Makoshika%20State%20Park%20Glendive%20Montana%20photos</x:v>
      </x:c>
      <x:c r="M237" s="16" t="str">
        <x:v>https://www.google.com/search?q=Makoshika%20State%20Park%20Glendive%20Montana%20wikipedia%20OR%20wikivoyage</x:v>
      </x:c>
      <x:c r="N237" s="16" t="str">
        <x:v>https://www.google.com/maps/search/?api=1&amp;query=Makoshika%20State%20Park%2C%20Glendive%2C%20Montana</x:v>
      </x:c>
      <x:c r="O237" s="17" t="b">
        <x:v>1</x:v>
      </x:c>
      <x:c r="P237" s="16" t="b">
        <x:f>IFERROR(VLOOKUP(A237,States!$A$2:$B$18,2,FALSE),FALSE)</x:f>
        <x:v>1</x:v>
      </x:c>
      <x:c r="Q237" s="16" t="b">
        <x:f>AND(OR(O237=TRUE,O237="TRUE"),OR(P237=TRUE,P237="TRUE"))</x:f>
        <x:v>1</x:v>
      </x:c>
    </x:row>
    <x:row r="238">
      <x:c r="A238" s="16" t="str">
        <x:v>Montana</x:v>
      </x:c>
      <x:c r="B238" s="16" t="str">
        <x:v>Fort Smith</x:v>
      </x:c>
      <x:c r="C238" s="16" t="n">
        <x:v>-107.969</x:v>
      </x:c>
      <x:c r="D238" s="16" t="n">
        <x:v>45.315</x:v>
      </x:c>
      <x:c r="E238" s="16" t="str">
        <x:v>Bighorn Canyon National Recreation Area</x:v>
      </x:c>
      <x:c r="F238" s="16" t="str">
        <x:v>Boaters, hikers, photographers</x:v>
      </x:c>
      <x:c r="G238" s="16" t="str">
        <x:v>Canyon walls and reservoir views create a quieter western landscape.</x:v>
      </x:c>
      <x:c r="H238" s="16" t="str">
        <x:v>Nature</x:v>
      </x:c>
      <x:c r="I238" s="16" t="str">
        <x:v>https://www.google.com/search?q=Bighorn%20Canyon%20National%20Recreation%20Area%20Fort%20Smith%20Montana%20official%20website</x:v>
      </x:c>
      <x:c r="J238" s="16" t="str">
        <x:v>https://www.google.com/search?q=site%3Avisitmt.com%20Bighorn%20Canyon%20National%20Recreation%20Area</x:v>
      </x:c>
      <x:c r="K238" s="16" t="str">
        <x:v>https://www.google.com/search?q=Bighorn%20Canyon%20National%20Recreation%20Area%20Fort%20Smith%20Montana%20visitor%20information</x:v>
      </x:c>
      <x:c r="L238" s="16" t="str">
        <x:v>https://www.google.com/search?q=Bighorn%20Canyon%20National%20Recreation%20Area%20Fort%20Smith%20Montana%20photos</x:v>
      </x:c>
      <x:c r="M238" s="16" t="str">
        <x:v>https://www.google.com/search?q=Bighorn%20Canyon%20National%20Recreation%20Area%20Fort%20Smith%20Montana%20wikipedia%20OR%20wikivoyage</x:v>
      </x:c>
      <x:c r="N238" s="16" t="str">
        <x:v>https://www.google.com/maps/search/?api=1&amp;query=Bighorn%20Canyon%20National%20Recreation%20Area%2C%20Fort%20Smith%2C%20Montana</x:v>
      </x:c>
      <x:c r="O238" s="17" t="b">
        <x:v>1</x:v>
      </x:c>
      <x:c r="P238" s="16" t="b">
        <x:f>IFERROR(VLOOKUP(A238,States!$A$2:$B$18,2,FALSE),FALSE)</x:f>
        <x:v>1</x:v>
      </x:c>
      <x:c r="Q238" s="16" t="b">
        <x:f>AND(OR(O238=TRUE,O238="TRUE"),OR(P238=TRUE,P238="TRUE"))</x:f>
        <x:v>1</x:v>
      </x:c>
    </x:row>
    <x:row r="239">
      <x:c r="A239" s="16" t="str">
        <x:v>Montana</x:v>
      </x:c>
      <x:c r="B239" s="16" t="str">
        <x:v>Deer Lodge</x:v>
      </x:c>
      <x:c r="C239" s="16" t="n">
        <x:v>-112.738</x:v>
      </x:c>
      <x:c r="D239" s="16" t="n">
        <x:v>46.408</x:v>
      </x:c>
      <x:c r="E239" s="16" t="str">
        <x:v>Grant-Kohrs Ranch National Historic Site</x:v>
      </x:c>
      <x:c r="F239" s="16" t="str">
        <x:v>History travelers, families</x:v>
      </x:c>
      <x:c r="G239" s="16" t="str">
        <x:v>A working ranch landscape preserves open-range cattle history.</x:v>
      </x:c>
      <x:c r="H239" s="16" t="str">
        <x:v>Historic Site</x:v>
      </x:c>
      <x:c r="I239" s="16" t="str">
        <x:v>https://www.google.com/search?q=Grant-Kohrs%20Ranch%20National%20Historic%20Site%20Deer%20Lodge%20Montana%20official%20website</x:v>
      </x:c>
      <x:c r="J239" s="16" t="str">
        <x:v>https://www.google.com/search?q=site%3Avisitmt.com%20Grant-Kohrs%20Ranch%20National%20Historic%20Site</x:v>
      </x:c>
      <x:c r="K239" s="16" t="str">
        <x:v>https://www.google.com/search?q=Grant-Kohrs%20Ranch%20National%20Historic%20Site%20Deer%20Lodge%20Montana%20visitor%20information</x:v>
      </x:c>
      <x:c r="L239" s="16" t="str">
        <x:v>https://www.google.com/search?q=Grant-Kohrs%20Ranch%20National%20Historic%20Site%20Deer%20Lodge%20Montana%20photos</x:v>
      </x:c>
      <x:c r="M239" s="16" t="str">
        <x:v>https://www.google.com/search?q=Grant-Kohrs%20Ranch%20National%20Historic%20Site%20Deer%20Lodge%20Montana%20wikipedia%20OR%20wikivoyage</x:v>
      </x:c>
      <x:c r="N239" s="16" t="str">
        <x:v>https://www.google.com/maps/search/?api=1&amp;query=Grant-Kohrs%20Ranch%20National%20Historic%20Site%2C%20Deer%20Lodge%2C%20Montana</x:v>
      </x:c>
      <x:c r="O239" s="17" t="b">
        <x:v>1</x:v>
      </x:c>
      <x:c r="P239" s="16" t="b">
        <x:f>IFERROR(VLOOKUP(A239,States!$A$2:$B$18,2,FALSE),FALSE)</x:f>
        <x:v>1</x:v>
      </x:c>
      <x:c r="Q239" s="16" t="b">
        <x:f>AND(OR(O239=TRUE,O239="TRUE"),OR(P239=TRUE,P239="TRUE"))</x:f>
        <x:v>1</x:v>
      </x:c>
    </x:row>
    <x:row r="240">
      <x:c r="A240" s="16" t="str">
        <x:v>Montana</x:v>
      </x:c>
      <x:c r="B240" s="16" t="str">
        <x:v>Moiese</x:v>
      </x:c>
      <x:c r="C240" s="16" t="n">
        <x:v>-114.306</x:v>
      </x:c>
      <x:c r="D240" s="16" t="n">
        <x:v>47.343</x:v>
      </x:c>
      <x:c r="E240" s="16" t="str">
        <x:v>Bison Range</x:v>
      </x:c>
      <x:c r="F240" s="16" t="str">
        <x:v>Wildlife watchers, families</x:v>
      </x:c>
      <x:c r="G240" s="16" t="str">
        <x:v>A scenic wildlife drive offers bison, elk, pronghorn, and mountain views.</x:v>
      </x:c>
      <x:c r="H240" s="16" t="str">
        <x:v>Wildlife</x:v>
      </x:c>
      <x:c r="I240" s="16" t="str">
        <x:v>https://www.google.com/search?q=Bison%20Range%20Moiese%20Montana%20official%20website</x:v>
      </x:c>
      <x:c r="J240" s="16" t="str">
        <x:v>https://www.google.com/search?q=site%3Avisitmt.com%20Bison%20Range</x:v>
      </x:c>
      <x:c r="K240" s="16" t="str">
        <x:v>https://www.google.com/search?q=Bison%20Range%20Moiese%20Montana%20visitor%20information</x:v>
      </x:c>
      <x:c r="L240" s="16" t="str">
        <x:v>https://www.google.com/search?q=Bison%20Range%20Moiese%20Montana%20photos</x:v>
      </x:c>
      <x:c r="M240" s="16" t="str">
        <x:v>https://www.google.com/search?q=Bison%20Range%20Moiese%20Montana%20wikipedia%20OR%20wikivoyage</x:v>
      </x:c>
      <x:c r="N240" s="16" t="str">
        <x:v>https://www.google.com/maps/search/?api=1&amp;query=Bison%20Range%2C%20Moiese%2C%20Montana</x:v>
      </x:c>
      <x:c r="O240" s="17" t="b">
        <x:v>1</x:v>
      </x:c>
      <x:c r="P240" s="16" t="b">
        <x:f>IFERROR(VLOOKUP(A240,States!$A$2:$B$18,2,FALSE),FALSE)</x:f>
        <x:v>1</x:v>
      </x:c>
      <x:c r="Q240" s="16" t="b">
        <x:f>AND(OR(O240=TRUE,O240="TRUE"),OR(P240=TRUE,P240="TRUE"))</x:f>
        <x:v>1</x:v>
      </x:c>
    </x:row>
    <x:row r="241">
      <x:c r="A241" s="16" t="str">
        <x:v>Montana</x:v>
      </x:c>
      <x:c r="B241" s="16" t="str">
        <x:v>Livingston</x:v>
      </x:c>
      <x:c r="C241" s="16" t="n">
        <x:v>-110.561</x:v>
      </x:c>
      <x:c r="D241" s="16" t="n">
        <x:v>45.661</x:v>
      </x:c>
      <x:c r="E241" s="16" t="str">
        <x:v>Yellowstone Gateway Museum</x:v>
      </x:c>
      <x:c r="F241" s="16" t="str">
        <x:v>History travelers, road trippers</x:v>
      </x:c>
      <x:c r="G241" s="16" t="str">
        <x:v>Local collections add context for Yellowstone gateway towns and rail travel.</x:v>
      </x:c>
      <x:c r="H241" s="16" t="str">
        <x:v>Museum</x:v>
      </x:c>
      <x:c r="I241" s="16" t="str">
        <x:v>https://www.google.com/search?q=Yellowstone%20Gateway%20Museum%20Livingston%20Montana%20official%20website</x:v>
      </x:c>
      <x:c r="J241" s="16" t="str">
        <x:v>https://www.google.com/search?q=site%3Avisitmt.com%20Yellowstone%20Gateway%20Museum</x:v>
      </x:c>
      <x:c r="K241" s="16" t="str">
        <x:v>https://www.google.com/search?q=Yellowstone%20Gateway%20Museum%20Livingston%20Montana%20visitor%20information</x:v>
      </x:c>
      <x:c r="L241" s="16" t="str">
        <x:v>https://www.google.com/search?q=Yellowstone%20Gateway%20Museum%20Livingston%20Montana%20photos</x:v>
      </x:c>
      <x:c r="M241" s="16" t="str">
        <x:v>https://www.google.com/search?q=Yellowstone%20Gateway%20Museum%20Livingston%20Montana%20wikipedia%20OR%20wikivoyage</x:v>
      </x:c>
      <x:c r="N241" s="16" t="str">
        <x:v>https://www.google.com/maps/search/?api=1&amp;query=Yellowstone%20Gateway%20Museum%2C%20Livingston%2C%20Montana</x:v>
      </x:c>
      <x:c r="O241" s="17" t="b">
        <x:v>1</x:v>
      </x:c>
      <x:c r="P241" s="16" t="b">
        <x:f>IFERROR(VLOOKUP(A241,States!$A$2:$B$18,2,FALSE),FALSE)</x:f>
        <x:v>1</x:v>
      </x:c>
      <x:c r="Q241" s="16" t="b">
        <x:f>AND(OR(O241=TRUE,O241="TRUE"),OR(P241=TRUE,P241="TRUE"))</x:f>
        <x:v>1</x:v>
      </x:c>
    </x:row>
    <x:row r="242">
      <x:c r="A242" s="16" t="str">
        <x:v>Wyoming</x:v>
      </x:c>
      <x:c r="B242" s="16" t="str">
        <x:v>Yellowstone</x:v>
      </x:c>
      <x:c r="C242" s="16" t="n">
        <x:v>-110.829</x:v>
      </x:c>
      <x:c r="D242" s="16" t="n">
        <x:v>44.461</x:v>
      </x:c>
      <x:c r="E242" s="16" t="str">
        <x:v>Old Faithful</x:v>
      </x:c>
      <x:c r="F242" s="16" t="str">
        <x:v>Families, first-time visitors</x:v>
      </x:c>
      <x:c r="G242" s="16" t="str">
        <x:v>A reliable geyser eruption makes Yellowstone's geothermal story immediate.</x:v>
      </x:c>
      <x:c r="H242" s="16" t="str">
        <x:v>National Park</x:v>
      </x:c>
      <x:c r="I242" s="16" t="str">
        <x:v>https://www.google.com/search?q=Old%20Faithful%20Yellowstone%20Wyoming%20official%20website</x:v>
      </x:c>
      <x:c r="J242" s="16" t="str">
        <x:v>https://www.google.com/search?q=site%3Atravelwyoming.com%20Old%20Faithful</x:v>
      </x:c>
      <x:c r="K242" s="16" t="str">
        <x:v>https://www.google.com/search?q=Old%20Faithful%20Yellowstone%20Wyoming%20visitor%20information</x:v>
      </x:c>
      <x:c r="L242" s="16" t="str">
        <x:v>https://www.google.com/search?q=Old%20Faithful%20Yellowstone%20Wyoming%20photos</x:v>
      </x:c>
      <x:c r="M242" s="16" t="str">
        <x:v>https://www.google.com/search?q=site%3Anps.gov%20Old%20Faithful</x:v>
      </x:c>
      <x:c r="N242" s="16" t="str">
        <x:v>https://www.google.com/maps/search/?api=1&amp;query=Old%20Faithful%2C%20Yellowstone%2C%20Wyoming</x:v>
      </x:c>
      <x:c r="O242" s="17" t="b">
        <x:v>1</x:v>
      </x:c>
      <x:c r="P242" s="16" t="b">
        <x:f>IFERROR(VLOOKUP(A242,States!$A$2:$B$18,2,FALSE),FALSE)</x:f>
        <x:v>1</x:v>
      </x:c>
      <x:c r="Q242" s="16" t="b">
        <x:f>AND(OR(O242=TRUE,O242="TRUE"),OR(P242=TRUE,P242="TRUE"))</x:f>
        <x:v>1</x:v>
      </x:c>
    </x:row>
    <x:row r="243">
      <x:c r="A243" s="16" t="str">
        <x:v>Wyoming</x:v>
      </x:c>
      <x:c r="B243" s="16" t="str">
        <x:v>Yellowstone</x:v>
      </x:c>
      <x:c r="C243" s="16" t="n">
        <x:v>-110.838</x:v>
      </x:c>
      <x:c r="D243" s="16" t="n">
        <x:v>44.525</x:v>
      </x:c>
      <x:c r="E243" s="16" t="str">
        <x:v>Grand Prismatic Spring</x:v>
      </x:c>
      <x:c r="F243" s="16" t="str">
        <x:v>Photographers, families</x:v>
      </x:c>
      <x:c r="G243" s="16" t="str">
        <x:v>Bright microbial colors create one of Yellowstone's signature sights.</x:v>
      </x:c>
      <x:c r="H243" s="16" t="str">
        <x:v>National Park</x:v>
      </x:c>
      <x:c r="I243" s="16" t="str">
        <x:v>https://www.google.com/search?q=Grand%20Prismatic%20Spring%20Yellowstone%20Wyoming%20official%20website</x:v>
      </x:c>
      <x:c r="J243" s="16" t="str">
        <x:v>https://www.google.com/search?q=site%3Atravelwyoming.com%20Grand%20Prismatic%20Spring</x:v>
      </x:c>
      <x:c r="K243" s="16" t="str">
        <x:v>https://www.google.com/search?q=Grand%20Prismatic%20Spring%20Yellowstone%20Wyoming%20visitor%20information</x:v>
      </x:c>
      <x:c r="L243" s="16" t="str">
        <x:v>https://www.google.com/search?q=Grand%20Prismatic%20Spring%20Yellowstone%20Wyoming%20photos</x:v>
      </x:c>
      <x:c r="M243" s="16" t="str">
        <x:v>https://www.google.com/search?q=site%3Anps.gov%20Grand%20Prismatic%20Spring</x:v>
      </x:c>
      <x:c r="N243" s="16" t="str">
        <x:v>https://www.google.com/maps/search/?api=1&amp;query=Grand%20Prismatic%20Spring%2C%20Yellowstone%2C%20Wyoming</x:v>
      </x:c>
      <x:c r="O243" s="17" t="b">
        <x:v>1</x:v>
      </x:c>
      <x:c r="P243" s="16" t="b">
        <x:f>IFERROR(VLOOKUP(A243,States!$A$2:$B$18,2,FALSE),FALSE)</x:f>
        <x:v>1</x:v>
      </x:c>
      <x:c r="Q243" s="16" t="b">
        <x:f>AND(OR(O243=TRUE,O243="TRUE"),OR(P243=TRUE,P243="TRUE"))</x:f>
        <x:v>1</x:v>
      </x:c>
    </x:row>
    <x:row r="244">
      <x:c r="A244" s="16" t="str">
        <x:v>Wyoming</x:v>
      </x:c>
      <x:c r="B244" s="16" t="str">
        <x:v>Yellowstone</x:v>
      </x:c>
      <x:c r="C244" s="16" t="n">
        <x:v>-110.485</x:v>
      </x:c>
      <x:c r="D244" s="16" t="n">
        <x:v>44.719</x:v>
      </x:c>
      <x:c r="E244" s="16" t="str">
        <x:v>Grand Canyon of the Yellowstone</x:v>
      </x:c>
      <x:c r="F244" s="16" t="str">
        <x:v>Photographers, hikers</x:v>
      </x:c>
      <x:c r="G244" s="16" t="str">
        <x:v>Waterfalls and yellow canyon walls create dramatic viewpoints.</x:v>
      </x:c>
      <x:c r="H244" s="16" t="str">
        <x:v>National Park</x:v>
      </x:c>
      <x:c r="I244" s="16" t="str">
        <x:v>https://www.google.com/search?q=Grand%20Canyon%20of%20the%20Yellowstone%20Yellowstone%20Wyoming%20official%20website</x:v>
      </x:c>
      <x:c r="J244" s="16" t="str">
        <x:v>https://www.google.com/search?q=site%3Atravelwyoming.com%20Grand%20Canyon%20of%20the%20Yellowstone</x:v>
      </x:c>
      <x:c r="K244" s="16" t="str">
        <x:v>https://www.google.com/search?q=Grand%20Canyon%20of%20the%20Yellowstone%20Yellowstone%20Wyoming%20visitor%20information</x:v>
      </x:c>
      <x:c r="L244" s="16" t="str">
        <x:v>https://www.google.com/search?q=Grand%20Canyon%20of%20the%20Yellowstone%20Yellowstone%20Wyoming%20photos</x:v>
      </x:c>
      <x:c r="M244" s="16" t="str">
        <x:v>https://www.google.com/search?q=site%3Anps.gov%20Grand%20Canyon%20of%20the%20Yellowstone</x:v>
      </x:c>
      <x:c r="N244" s="16" t="str">
        <x:v>https://www.google.com/maps/search/?api=1&amp;query=Grand%20Canyon%20of%20the%20Yellowstone%2C%20Yellowstone%2C%20Wyoming</x:v>
      </x:c>
      <x:c r="O244" s="17" t="b">
        <x:v>1</x:v>
      </x:c>
      <x:c r="P244" s="16" t="b">
        <x:f>IFERROR(VLOOKUP(A244,States!$A$2:$B$18,2,FALSE),FALSE)</x:f>
        <x:v>1</x:v>
      </x:c>
      <x:c r="Q244" s="16" t="b">
        <x:f>AND(OR(O244=TRUE,O244="TRUE"),OR(P244=TRUE,P244="TRUE"))</x:f>
        <x:v>1</x:v>
      </x:c>
    </x:row>
    <x:row r="245">
      <x:c r="A245" s="16" t="str">
        <x:v>Wyoming</x:v>
      </x:c>
      <x:c r="B245" s="16" t="str">
        <x:v>Moose</x:v>
      </x:c>
      <x:c r="C245" s="16" t="n">
        <x:v>-110.705</x:v>
      </x:c>
      <x:c r="D245" s="16" t="n">
        <x:v>43.79</x:v>
      </x:c>
      <x:c r="E245" s="16" t="str">
        <x:v>Grand Teton National Park</x:v>
      </x:c>
      <x:c r="F245" s="16" t="str">
        <x:v>Hikers, photographers, families</x:v>
      </x:c>
      <x:c r="G245" s="16" t="str">
        <x:v>Sharp peaks rise above lakes, meadows, and wildlife habitat.</x:v>
      </x:c>
      <x:c r="H245" s="16" t="str">
        <x:v>National Park</x:v>
      </x:c>
      <x:c r="I245" s="16" t="str">
        <x:v>https://www.google.com/search?q=Grand%20Teton%20National%20Park%20Moose%20Wyoming%20official%20website</x:v>
      </x:c>
      <x:c r="J245" s="16" t="str">
        <x:v>https://www.google.com/search?q=site%3Atravelwyoming.com%20Grand%20Teton%20National%20Park</x:v>
      </x:c>
      <x:c r="K245" s="16" t="str">
        <x:v>https://www.google.com/search?q=Grand%20Teton%20National%20Park%20Moose%20Wyoming%20visitor%20information</x:v>
      </x:c>
      <x:c r="L245" s="16" t="str">
        <x:v>https://www.google.com/search?q=Grand%20Teton%20National%20Park%20Moose%20Wyoming%20photos</x:v>
      </x:c>
      <x:c r="M245" s="16" t="str">
        <x:v>https://www.google.com/search?q=site%3Anps.gov%20Grand%20Teton%20National%20Park</x:v>
      </x:c>
      <x:c r="N245" s="16" t="str">
        <x:v>https://www.google.com/maps/search/?api=1&amp;query=Grand%20Teton%20National%20Park%2C%20Moose%2C%20Wyoming</x:v>
      </x:c>
      <x:c r="O245" s="17" t="b">
        <x:v>1</x:v>
      </x:c>
      <x:c r="P245" s="16" t="b">
        <x:f>IFERROR(VLOOKUP(A245,States!$A$2:$B$18,2,FALSE),FALSE)</x:f>
        <x:v>1</x:v>
      </x:c>
      <x:c r="Q245" s="16" t="b">
        <x:f>AND(OR(O245=TRUE,O245="TRUE"),OR(P245=TRUE,P245="TRUE"))</x:f>
        <x:v>1</x:v>
      </x:c>
    </x:row>
    <x:row r="246">
      <x:c r="A246" s="16" t="str">
        <x:v>Wyoming</x:v>
      </x:c>
      <x:c r="B246" s="16" t="str">
        <x:v>Moose</x:v>
      </x:c>
      <x:c r="C246" s="16" t="n">
        <x:v>-110.726</x:v>
      </x:c>
      <x:c r="D246" s="16" t="n">
        <x:v>43.754</x:v>
      </x:c>
      <x:c r="E246" s="16" t="str">
        <x:v>Jenny Lake</x:v>
      </x:c>
      <x:c r="F246" s="16" t="str">
        <x:v>Families, hikers, paddlers</x:v>
      </x:c>
      <x:c r="G246" s="16" t="str">
        <x:v>Boat shuttles and trails give close access to Teton scenery.</x:v>
      </x:c>
      <x:c r="H246" s="16" t="str">
        <x:v>Nature</x:v>
      </x:c>
      <x:c r="I246" s="16" t="str">
        <x:v>https://www.google.com/search?q=Jenny%20Lake%20Moose%20Wyoming%20official%20website</x:v>
      </x:c>
      <x:c r="J246" s="16" t="str">
        <x:v>https://www.google.com/search?q=site%3Atravelwyoming.com%20Jenny%20Lake</x:v>
      </x:c>
      <x:c r="K246" s="16" t="str">
        <x:v>https://www.google.com/search?q=Jenny%20Lake%20Moose%20Wyoming%20visitor%20information</x:v>
      </x:c>
      <x:c r="L246" s="16" t="str">
        <x:v>https://www.google.com/search?q=Jenny%20Lake%20Moose%20Wyoming%20photos</x:v>
      </x:c>
      <x:c r="M246" s="16" t="str">
        <x:v>https://www.google.com/search?q=Jenny%20Lake%20Moose%20Wyoming%20wikipedia%20OR%20wikivoyage</x:v>
      </x:c>
      <x:c r="N246" s="16" t="str">
        <x:v>https://www.google.com/maps/search/?api=1&amp;query=Jenny%20Lake%2C%20Moose%2C%20Wyoming</x:v>
      </x:c>
      <x:c r="O246" s="17" t="b">
        <x:v>1</x:v>
      </x:c>
      <x:c r="P246" s="16" t="b">
        <x:f>IFERROR(VLOOKUP(A246,States!$A$2:$B$18,2,FALSE),FALSE)</x:f>
        <x:v>1</x:v>
      </x:c>
      <x:c r="Q246" s="16" t="b">
        <x:f>AND(OR(O246=TRUE,O246="TRUE"),OR(P246=TRUE,P246="TRUE"))</x:f>
        <x:v>1</x:v>
      </x:c>
    </x:row>
    <x:row r="247">
      <x:c r="A247" s="16" t="str">
        <x:v>Wyoming</x:v>
      </x:c>
      <x:c r="B247" s="16" t="str">
        <x:v>Devils Tower</x:v>
      </x:c>
      <x:c r="C247" s="16" t="n">
        <x:v>-104.715</x:v>
      </x:c>
      <x:c r="D247" s="16" t="n">
        <x:v>44.591</x:v>
      </x:c>
      <x:c r="E247" s="16" t="str">
        <x:v>Devils Tower National Monument</x:v>
      </x:c>
      <x:c r="F247" s="16" t="str">
        <x:v>Climbers, families, photographers</x:v>
      </x:c>
      <x:c r="G247" s="16" t="str">
        <x:v>A striking geologic tower rises above prairie and pine forest.</x:v>
      </x:c>
      <x:c r="H247" s="16" t="str">
        <x:v>National Monument</x:v>
      </x:c>
      <x:c r="I247" s="16" t="str">
        <x:v>https://www.google.com/search?q=Devils%20Tower%20National%20Monument%20Devils%20Tower%20Wyoming%20official%20website</x:v>
      </x:c>
      <x:c r="J247" s="16" t="str">
        <x:v>https://www.google.com/search?q=site%3Atravelwyoming.com%20Devils%20Tower%20National%20Monument</x:v>
      </x:c>
      <x:c r="K247" s="16" t="str">
        <x:v>https://www.google.com/search?q=Devils%20Tower%20National%20Monument%20Devils%20Tower%20Wyoming%20visitor%20information</x:v>
      </x:c>
      <x:c r="L247" s="16" t="str">
        <x:v>https://www.google.com/search?q=Devils%20Tower%20National%20Monument%20Devils%20Tower%20Wyoming%20photos</x:v>
      </x:c>
      <x:c r="M247" s="16" t="str">
        <x:v>https://www.google.com/search?q=site%3Anps.gov%20Devils%20Tower%20National%20Monument</x:v>
      </x:c>
      <x:c r="N247" s="16" t="str">
        <x:v>https://www.google.com/maps/search/?api=1&amp;query=Devils%20Tower%20National%20Monument%2C%20Devils%20Tower%2C%20Wyoming</x:v>
      </x:c>
      <x:c r="O247" s="17" t="b">
        <x:v>1</x:v>
      </x:c>
      <x:c r="P247" s="16" t="b">
        <x:f>IFERROR(VLOOKUP(A247,States!$A$2:$B$18,2,FALSE),FALSE)</x:f>
        <x:v>1</x:v>
      </x:c>
      <x:c r="Q247" s="16" t="b">
        <x:f>AND(OR(O247=TRUE,O247="TRUE"),OR(P247=TRUE,P247="TRUE"))</x:f>
        <x:v>1</x:v>
      </x:c>
    </x:row>
    <x:row r="248">
      <x:c r="A248" s="16" t="str">
        <x:v>Wyoming</x:v>
      </x:c>
      <x:c r="B248" s="16" t="str">
        <x:v>Cody</x:v>
      </x:c>
      <x:c r="C248" s="16" t="n">
        <x:v>-109.057</x:v>
      </x:c>
      <x:c r="D248" s="16" t="n">
        <x:v>44.526</x:v>
      </x:c>
      <x:c r="E248" s="16" t="str">
        <x:v>Buffalo Bill Center of the West</x:v>
      </x:c>
      <x:c r="F248" s="16" t="str">
        <x:v>History fans, families, art lovers</x:v>
      </x:c>
      <x:c r="G248" s="16" t="str">
        <x:v>Five museums explore western art, firearms, Plains cultures, and Cody history.</x:v>
      </x:c>
      <x:c r="H248" s="16" t="str">
        <x:v>Museum</x:v>
      </x:c>
      <x:c r="I248" s="16" t="str">
        <x:v>https://www.google.com/search?q=Buffalo%20Bill%20Center%20of%20the%20West%20Cody%20Wyoming%20official%20website</x:v>
      </x:c>
      <x:c r="J248" s="16" t="str">
        <x:v>https://www.google.com/search?q=site%3Atravelwyoming.com%20Buffalo%20Bill%20Center%20of%20the%20West</x:v>
      </x:c>
      <x:c r="K248" s="16" t="str">
        <x:v>https://www.google.com/search?q=Buffalo%20Bill%20Center%20of%20the%20West%20Cody%20Wyoming%20visitor%20information</x:v>
      </x:c>
      <x:c r="L248" s="16" t="str">
        <x:v>https://www.google.com/search?q=Buffalo%20Bill%20Center%20of%20the%20West%20Cody%20Wyoming%20photos</x:v>
      </x:c>
      <x:c r="M248" s="16" t="str">
        <x:v>https://www.google.com/search?q=Buffalo%20Bill%20Center%20of%20the%20West%20Cody%20Wyoming%20wikipedia%20OR%20wikivoyage</x:v>
      </x:c>
      <x:c r="N248" s="16" t="str">
        <x:v>https://www.google.com/maps/search/?api=1&amp;query=Buffalo%20Bill%20Center%20of%20the%20West%2C%20Cody%2C%20Wyoming</x:v>
      </x:c>
      <x:c r="O248" s="17" t="b">
        <x:v>1</x:v>
      </x:c>
      <x:c r="P248" s="16" t="b">
        <x:f>IFERROR(VLOOKUP(A248,States!$A$2:$B$18,2,FALSE),FALSE)</x:f>
        <x:v>1</x:v>
      </x:c>
      <x:c r="Q248" s="16" t="b">
        <x:f>AND(OR(O248=TRUE,O248="TRUE"),OR(P248=TRUE,P248="TRUE"))</x:f>
        <x:v>1</x:v>
      </x:c>
    </x:row>
    <x:row r="249">
      <x:c r="A249" s="16" t="str">
        <x:v>Wyoming</x:v>
      </x:c>
      <x:c r="B249" s="16" t="str">
        <x:v>Teton Village</x:v>
      </x:c>
      <x:c r="C249" s="16" t="n">
        <x:v>-110.827</x:v>
      </x:c>
      <x:c r="D249" s="16" t="n">
        <x:v>43.588</x:v>
      </x:c>
      <x:c r="E249" s="16" t="str">
        <x:v>Jackson Hole Aerial Tram</x:v>
      </x:c>
      <x:c r="F249" s="16" t="str">
        <x:v>Skiers, hikers, photographers</x:v>
      </x:c>
      <x:c r="G249" s="16" t="str">
        <x:v>A steep tram ride gives fast access to high-mountain views.</x:v>
      </x:c>
      <x:c r="H249" s="16" t="str">
        <x:v>Resort</x:v>
      </x:c>
      <x:c r="I249" s="16" t="str">
        <x:v>https://www.google.com/search?q=Jackson%20Hole%20Aerial%20Tram%20Teton%20Village%20Wyoming%20official%20website</x:v>
      </x:c>
      <x:c r="J249" s="16" t="str">
        <x:v>https://www.google.com/search?q=site%3Atravelwyoming.com%20Jackson%20Hole%20Aerial%20Tram</x:v>
      </x:c>
      <x:c r="K249" s="16" t="str">
        <x:v>https://www.google.com/search?q=Jackson%20Hole%20Aerial%20Tram%20Teton%20Village%20Wyoming%20visitor%20information</x:v>
      </x:c>
      <x:c r="L249" s="16" t="str">
        <x:v>https://www.google.com/search?q=Jackson%20Hole%20Aerial%20Tram%20Teton%20Village%20Wyoming%20photos</x:v>
      </x:c>
      <x:c r="M249" s="16" t="str">
        <x:v>https://www.google.com/search?q=Jackson%20Hole%20Aerial%20Tram%20Teton%20Village%20Wyoming%20wikipedia%20OR%20wikivoyage</x:v>
      </x:c>
      <x:c r="N249" s="16" t="str">
        <x:v>https://www.google.com/maps/search/?api=1&amp;query=Jackson%20Hole%20Aerial%20Tram%2C%20Teton%20Village%2C%20Wyoming</x:v>
      </x:c>
      <x:c r="O249" s="17" t="b">
        <x:v>1</x:v>
      </x:c>
      <x:c r="P249" s="16" t="b">
        <x:f>IFERROR(VLOOKUP(A249,States!$A$2:$B$18,2,FALSE),FALSE)</x:f>
        <x:v>1</x:v>
      </x:c>
      <x:c r="Q249" s="16" t="b">
        <x:f>AND(OR(O249=TRUE,O249="TRUE"),OR(P249=TRUE,P249="TRUE"))</x:f>
        <x:v>1</x:v>
      </x:c>
    </x:row>
    <x:row r="250">
      <x:c r="A250" s="16" t="str">
        <x:v>Wyoming</x:v>
      </x:c>
      <x:c r="B250" s="16" t="str">
        <x:v>Jackson</x:v>
      </x:c>
      <x:c r="C250" s="16" t="n">
        <x:v>-110.738</x:v>
      </x:c>
      <x:c r="D250" s="16" t="n">
        <x:v>43.501</x:v>
      </x:c>
      <x:c r="E250" s="16" t="str">
        <x:v>National Elk Refuge</x:v>
      </x:c>
      <x:c r="F250" s="16" t="str">
        <x:v>Wildlife watchers, families</x:v>
      </x:c>
      <x:c r="G250" s="16" t="str">
        <x:v>Seasonal elk viewing and sleigh rides sit right beside Jackson.</x:v>
      </x:c>
      <x:c r="H250" s="16" t="str">
        <x:v>Wildlife</x:v>
      </x:c>
      <x:c r="I250" s="16" t="str">
        <x:v>https://www.google.com/search?q=National%20Elk%20Refuge%20Jackson%20Wyoming%20official%20website</x:v>
      </x:c>
      <x:c r="J250" s="16" t="str">
        <x:v>https://www.google.com/search?q=site%3Atravelwyoming.com%20National%20Elk%20Refuge</x:v>
      </x:c>
      <x:c r="K250" s="16" t="str">
        <x:v>https://www.google.com/search?q=National%20Elk%20Refuge%20Jackson%20Wyoming%20visitor%20information</x:v>
      </x:c>
      <x:c r="L250" s="16" t="str">
        <x:v>https://www.google.com/search?q=National%20Elk%20Refuge%20Jackson%20Wyoming%20photos</x:v>
      </x:c>
      <x:c r="M250" s="16" t="str">
        <x:v>https://www.google.com/search?q=National%20Elk%20Refuge%20Jackson%20Wyoming%20wikipedia%20OR%20wikivoyage</x:v>
      </x:c>
      <x:c r="N250" s="16" t="str">
        <x:v>https://www.google.com/maps/search/?api=1&amp;query=National%20Elk%20Refuge%2C%20Jackson%2C%20Wyoming</x:v>
      </x:c>
      <x:c r="O250" s="17" t="b">
        <x:v>1</x:v>
      </x:c>
      <x:c r="P250" s="16" t="b">
        <x:f>IFERROR(VLOOKUP(A250,States!$A$2:$B$18,2,FALSE),FALSE)</x:f>
        <x:v>1</x:v>
      </x:c>
      <x:c r="Q250" s="16" t="b">
        <x:f>AND(OR(O250=TRUE,O250="TRUE"),OR(P250=TRUE,P250="TRUE"))</x:f>
        <x:v>1</x:v>
      </x:c>
    </x:row>
    <x:row r="251">
      <x:c r="A251" s="16" t="str">
        <x:v>Wyoming</x:v>
      </x:c>
      <x:c r="B251" s="16" t="str">
        <x:v>Thermopolis</x:v>
      </x:c>
      <x:c r="C251" s="16" t="n">
        <x:v>-108.203</x:v>
      </x:c>
      <x:c r="D251" s="16" t="n">
        <x:v>43.65</x:v>
      </x:c>
      <x:c r="E251" s="16" t="str">
        <x:v>Hot Springs State Park</x:v>
      </x:c>
      <x:c r="F251" s="16" t="str">
        <x:v>Families, spa travelers</x:v>
      </x:c>
      <x:c r="G251" s="16" t="str">
        <x:v>Mineral terraces and public soaking pools make a relaxed stop.</x:v>
      </x:c>
      <x:c r="H251" s="16" t="str">
        <x:v>Nature</x:v>
      </x:c>
      <x:c r="I251" s="16" t="str">
        <x:v>https://www.google.com/search?q=Hot%20Springs%20State%20Park%20Thermopolis%20Wyoming%20official%20website</x:v>
      </x:c>
      <x:c r="J251" s="16" t="str">
        <x:v>https://www.google.com/search?q=site%3Atravelwyoming.com%20Hot%20Springs%20State%20Park</x:v>
      </x:c>
      <x:c r="K251" s="16" t="str">
        <x:v>https://www.google.com/search?q=Hot%20Springs%20State%20Park%20Thermopolis%20Wyoming%20visitor%20information</x:v>
      </x:c>
      <x:c r="L251" s="16" t="str">
        <x:v>https://www.google.com/search?q=Hot%20Springs%20State%20Park%20Thermopolis%20Wyoming%20photos</x:v>
      </x:c>
      <x:c r="M251" s="16" t="str">
        <x:v>https://www.google.com/search?q=Hot%20Springs%20State%20Park%20Thermopolis%20Wyoming%20wikipedia%20OR%20wikivoyage</x:v>
      </x:c>
      <x:c r="N251" s="16" t="str">
        <x:v>https://www.google.com/maps/search/?api=1&amp;query=Hot%20Springs%20State%20Park%2C%20Thermopolis%2C%20Wyoming</x:v>
      </x:c>
      <x:c r="O251" s="17" t="b">
        <x:v>1</x:v>
      </x:c>
      <x:c r="P251" s="16" t="b">
        <x:f>IFERROR(VLOOKUP(A251,States!$A$2:$B$18,2,FALSE),FALSE)</x:f>
        <x:v>1</x:v>
      </x:c>
      <x:c r="Q251" s="16" t="b">
        <x:f>AND(OR(O251=TRUE,O251="TRUE"),OR(P251=TRUE,P251="TRUE"))</x:f>
        <x:v>1</x:v>
      </x:c>
    </x:row>
    <x:row r="252">
      <x:c r="A252" s="16" t="str">
        <x:v>Wyoming</x:v>
      </x:c>
      <x:c r="B252" s="16" t="str">
        <x:v>Kemmerer</x:v>
      </x:c>
      <x:c r="C252" s="16" t="n">
        <x:v>-110.763</x:v>
      </x:c>
      <x:c r="D252" s="16" t="n">
        <x:v>41.856</x:v>
      </x:c>
      <x:c r="E252" s="16" t="str">
        <x:v>Fossil Butte National Monument</x:v>
      </x:c>
      <x:c r="F252" s="16" t="str">
        <x:v>Fossil fans, families</x:v>
      </x:c>
      <x:c r="G252" s="16" t="str">
        <x:v>Ancient lake fossils preserve fish, plants, and insects in fine detail.</x:v>
      </x:c>
      <x:c r="H252" s="16" t="str">
        <x:v>National Monument</x:v>
      </x:c>
      <x:c r="I252" s="16" t="str">
        <x:v>https://www.google.com/search?q=Fossil%20Butte%20National%20Monument%20Kemmerer%20Wyoming%20official%20website</x:v>
      </x:c>
      <x:c r="J252" s="16" t="str">
        <x:v>https://www.google.com/search?q=site%3Atravelwyoming.com%20Fossil%20Butte%20National%20Monument</x:v>
      </x:c>
      <x:c r="K252" s="16" t="str">
        <x:v>https://www.google.com/search?q=Fossil%20Butte%20National%20Monument%20Kemmerer%20Wyoming%20visitor%20information</x:v>
      </x:c>
      <x:c r="L252" s="16" t="str">
        <x:v>https://www.google.com/search?q=Fossil%20Butte%20National%20Monument%20Kemmerer%20Wyoming%20photos</x:v>
      </x:c>
      <x:c r="M252" s="16" t="str">
        <x:v>https://www.google.com/search?q=site%3Anps.gov%20Fossil%20Butte%20National%20Monument</x:v>
      </x:c>
      <x:c r="N252" s="16" t="str">
        <x:v>https://www.google.com/maps/search/?api=1&amp;query=Fossil%20Butte%20National%20Monument%2C%20Kemmerer%2C%20Wyoming</x:v>
      </x:c>
      <x:c r="O252" s="17" t="b">
        <x:v>1</x:v>
      </x:c>
      <x:c r="P252" s="16" t="b">
        <x:f>IFERROR(VLOOKUP(A252,States!$A$2:$B$18,2,FALSE),FALSE)</x:f>
        <x:v>1</x:v>
      </x:c>
      <x:c r="Q252" s="16" t="b">
        <x:f>AND(OR(O252=TRUE,O252="TRUE"),OR(P252=TRUE,P252="TRUE"))</x:f>
        <x:v>1</x:v>
      </x:c>
    </x:row>
    <x:row r="253">
      <x:c r="A253" s="16" t="str">
        <x:v>Wyoming</x:v>
      </x:c>
      <x:c r="B253" s="16" t="str">
        <x:v>Fort Laramie</x:v>
      </x:c>
      <x:c r="C253" s="16" t="n">
        <x:v>-104.558</x:v>
      </x:c>
      <x:c r="D253" s="16" t="n">
        <x:v>42.213</x:v>
      </x:c>
      <x:c r="E253" s="16" t="str">
        <x:v>Fort Laramie National Historic Site</x:v>
      </x:c>
      <x:c r="F253" s="16" t="str">
        <x:v>History travelers, families</x:v>
      </x:c>
      <x:c r="G253" s="16" t="str">
        <x:v>A major Plains fort interprets migration, trade, and military history.</x:v>
      </x:c>
      <x:c r="H253" s="16" t="str">
        <x:v>Historic Site</x:v>
      </x:c>
      <x:c r="I253" s="16" t="str">
        <x:v>https://www.google.com/search?q=Fort%20Laramie%20National%20Historic%20Site%20Fort%20Laramie%20Wyoming%20official%20website</x:v>
      </x:c>
      <x:c r="J253" s="16" t="str">
        <x:v>https://www.google.com/search?q=site%3Atravelwyoming.com%20Fort%20Laramie%20National%20Historic%20Site</x:v>
      </x:c>
      <x:c r="K253" s="16" t="str">
        <x:v>https://www.google.com/search?q=Fort%20Laramie%20National%20Historic%20Site%20Fort%20Laramie%20Wyoming%20visitor%20information</x:v>
      </x:c>
      <x:c r="L253" s="16" t="str">
        <x:v>https://www.google.com/search?q=Fort%20Laramie%20National%20Historic%20Site%20Fort%20Laramie%20Wyoming%20photos</x:v>
      </x:c>
      <x:c r="M253" s="16" t="str">
        <x:v>https://www.google.com/search?q=Fort%20Laramie%20National%20Historic%20Site%20Fort%20Laramie%20Wyoming%20wikipedia%20OR%20wikivoyage</x:v>
      </x:c>
      <x:c r="N253" s="16" t="str">
        <x:v>https://www.google.com/maps/search/?api=1&amp;query=Fort%20Laramie%20National%20Historic%20Site%2C%20Fort%20Laramie%2C%20Wyoming</x:v>
      </x:c>
      <x:c r="O253" s="17" t="b">
        <x:v>1</x:v>
      </x:c>
      <x:c r="P253" s="16" t="b">
        <x:f>IFERROR(VLOOKUP(A253,States!$A$2:$B$18,2,FALSE),FALSE)</x:f>
        <x:v>1</x:v>
      </x:c>
      <x:c r="Q253" s="16" t="b">
        <x:f>AND(OR(O253=TRUE,O253="TRUE"),OR(P253=TRUE,P253="TRUE"))</x:f>
        <x:v>1</x:v>
      </x:c>
    </x:row>
    <x:row r="254">
      <x:c r="A254" s="16" t="str">
        <x:v>Wyoming</x:v>
      </x:c>
      <x:c r="B254" s="16" t="str">
        <x:v>Lovell</x:v>
      </x:c>
      <x:c r="C254" s="16" t="n">
        <x:v>-108.203</x:v>
      </x:c>
      <x:c r="D254" s="16" t="n">
        <x:v>44.817</x:v>
      </x:c>
      <x:c r="E254" s="16" t="str">
        <x:v>Bighorn Canyon National Recreation Area</x:v>
      </x:c>
      <x:c r="F254" s="16" t="str">
        <x:v>Boaters, hikers, photographers</x:v>
      </x:c>
      <x:c r="G254" s="16" t="str">
        <x:v>Reservoir views and canyon walls make a quiet scenic alternative.</x:v>
      </x:c>
      <x:c r="H254" s="16" t="str">
        <x:v>Nature</x:v>
      </x:c>
      <x:c r="I254" s="16" t="str">
        <x:v>https://www.google.com/search?q=Bighorn%20Canyon%20National%20Recreation%20Area%20Lovell%20Wyoming%20official%20website</x:v>
      </x:c>
      <x:c r="J254" s="16" t="str">
        <x:v>https://www.google.com/search?q=site%3Atravelwyoming.com%20Bighorn%20Canyon%20National%20Recreation%20Area</x:v>
      </x:c>
      <x:c r="K254" s="16" t="str">
        <x:v>https://www.google.com/search?q=Bighorn%20Canyon%20National%20Recreation%20Area%20Lovell%20Wyoming%20visitor%20information</x:v>
      </x:c>
      <x:c r="L254" s="16" t="str">
        <x:v>https://www.google.com/search?q=Bighorn%20Canyon%20National%20Recreation%20Area%20Lovell%20Wyoming%20photos</x:v>
      </x:c>
      <x:c r="M254" s="16" t="str">
        <x:v>https://www.google.com/search?q=Bighorn%20Canyon%20National%20Recreation%20Area%20Lovell%20Wyoming%20wikipedia%20OR%20wikivoyage</x:v>
      </x:c>
      <x:c r="N254" s="16" t="str">
        <x:v>https://www.google.com/maps/search/?api=1&amp;query=Bighorn%20Canyon%20National%20Recreation%20Area%2C%20Lovell%2C%20Wyoming</x:v>
      </x:c>
      <x:c r="O254" s="17" t="b">
        <x:v>1</x:v>
      </x:c>
      <x:c r="P254" s="16" t="b">
        <x:f>IFERROR(VLOOKUP(A254,States!$A$2:$B$18,2,FALSE),FALSE)</x:f>
        <x:v>1</x:v>
      </x:c>
      <x:c r="Q254" s="16" t="b">
        <x:f>AND(OR(O254=TRUE,O254="TRUE"),OR(P254=TRUE,P254="TRUE"))</x:f>
        <x:v>1</x:v>
      </x:c>
    </x:row>
    <x:row r="255">
      <x:c r="A255" s="16" t="str">
        <x:v>Wyoming</x:v>
      </x:c>
      <x:c r="B255" s="16" t="str">
        <x:v>Green River</x:v>
      </x:c>
      <x:c r="C255" s="16" t="n">
        <x:v>-109.423</x:v>
      </x:c>
      <x:c r="D255" s="16" t="n">
        <x:v>41</x:v>
      </x:c>
      <x:c r="E255" s="16" t="str">
        <x:v>Flaming Gorge National Recreation Area</x:v>
      </x:c>
      <x:c r="F255" s="16" t="str">
        <x:v>Boaters, anglers, scenic drivers</x:v>
      </x:c>
      <x:c r="G255" s="16" t="str">
        <x:v>Red canyon walls and reservoir recreation span the Utah-Wyoming border.</x:v>
      </x:c>
      <x:c r="H255" s="16" t="str">
        <x:v>Waterfront</x:v>
      </x:c>
      <x:c r="I255" s="16" t="str">
        <x:v>https://www.google.com/search?q=Flaming%20Gorge%20National%20Recreation%20Area%20Green%20River%20Wyoming%20official%20website</x:v>
      </x:c>
      <x:c r="J255" s="16" t="str">
        <x:v>https://www.google.com/search?q=site%3Atravelwyoming.com%20Flaming%20Gorge%20National%20Recreation%20Area</x:v>
      </x:c>
      <x:c r="K255" s="16" t="str">
        <x:v>https://www.google.com/search?q=Flaming%20Gorge%20National%20Recreation%20Area%20Green%20River%20Wyoming%20visitor%20information</x:v>
      </x:c>
      <x:c r="L255" s="16" t="str">
        <x:v>https://www.google.com/search?q=Flaming%20Gorge%20National%20Recreation%20Area%20Green%20River%20Wyoming%20photos</x:v>
      </x:c>
      <x:c r="M255" s="16" t="str">
        <x:v>https://www.google.com/search?q=Flaming%20Gorge%20National%20Recreation%20Area%20Green%20River%20Wyoming%20wikipedia%20OR%20wikivoyage</x:v>
      </x:c>
      <x:c r="N255" s="16" t="str">
        <x:v>https://www.google.com/maps/search/?api=1&amp;query=Flaming%20Gorge%20National%20Recreation%20Area%2C%20Green%20River%2C%20Wyoming</x:v>
      </x:c>
      <x:c r="O255" s="17" t="b">
        <x:v>1</x:v>
      </x:c>
      <x:c r="P255" s="16" t="b">
        <x:f>IFERROR(VLOOKUP(A255,States!$A$2:$B$18,2,FALSE),FALSE)</x:f>
        <x:v>1</x:v>
      </x:c>
      <x:c r="Q255" s="16" t="b">
        <x:f>AND(OR(O255=TRUE,O255="TRUE"),OR(P255=TRUE,P255="TRUE"))</x:f>
        <x:v>1</x:v>
      </x:c>
    </x:row>
    <x:row r="256">
      <x:c r="A256" s="16" t="str">
        <x:v>Wyoming</x:v>
      </x:c>
      <x:c r="B256" s="16" t="str">
        <x:v>Cheyenne</x:v>
      </x:c>
      <x:c r="C256" s="16" t="n">
        <x:v>-104.815</x:v>
      </x:c>
      <x:c r="D256" s="16" t="n">
        <x:v>41.132</x:v>
      </x:c>
      <x:c r="E256" s="16" t="str">
        <x:v>Cheyenne Depot Museum</x:v>
      </x:c>
      <x:c r="F256" s="16" t="str">
        <x:v>Rail fans, history travelers</x:v>
      </x:c>
      <x:c r="G256" s="16" t="str">
        <x:v>A restored depot explains railroad power in Wyoming's capital.</x:v>
      </x:c>
      <x:c r="H256" s="16" t="str">
        <x:v>Museum</x:v>
      </x:c>
      <x:c r="I256" s="16" t="str">
        <x:v>https://www.google.com/search?q=Cheyenne%20Depot%20Museum%20Cheyenne%20Wyoming%20official%20website</x:v>
      </x:c>
      <x:c r="J256" s="16" t="str">
        <x:v>https://www.google.com/search?q=site%3Atravelwyoming.com%20Cheyenne%20Depot%20Museum</x:v>
      </x:c>
      <x:c r="K256" s="16" t="str">
        <x:v>https://www.google.com/search?q=Cheyenne%20Depot%20Museum%20Cheyenne%20Wyoming%20visitor%20information</x:v>
      </x:c>
      <x:c r="L256" s="16" t="str">
        <x:v>https://www.google.com/search?q=Cheyenne%20Depot%20Museum%20Cheyenne%20Wyoming%20photos</x:v>
      </x:c>
      <x:c r="M256" s="16" t="str">
        <x:v>https://www.google.com/search?q=Cheyenne%20Depot%20Museum%20Cheyenne%20Wyoming%20wikipedia%20OR%20wikivoyage</x:v>
      </x:c>
      <x:c r="N256" s="16" t="str">
        <x:v>https://www.google.com/maps/search/?api=1&amp;query=Cheyenne%20Depot%20Museum%2C%20Cheyenne%2C%20Wyoming</x:v>
      </x:c>
      <x:c r="O256" s="17" t="b">
        <x:v>1</x:v>
      </x:c>
      <x:c r="P256" s="16" t="b">
        <x:f>IFERROR(VLOOKUP(A256,States!$A$2:$B$18,2,FALSE),FALSE)</x:f>
        <x:v>1</x:v>
      </x:c>
      <x:c r="Q256" s="16" t="b">
        <x:f>AND(OR(O256=TRUE,O256="TRUE"),OR(P256=TRUE,P256="TRUE"))</x:f>
        <x:v>1</x:v>
      </x:c>
    </x:row>
    <x:row r="257">
      <x:c r="A257" s="16" t="str">
        <x:v>Wyoming</x:v>
      </x:c>
      <x:c r="B257" s="16" t="str">
        <x:v>Thermopolis</x:v>
      </x:c>
      <x:c r="C257" s="16" t="n">
        <x:v>-108.207</x:v>
      </x:c>
      <x:c r="D257" s="16" t="n">
        <x:v>43.647</x:v>
      </x:c>
      <x:c r="E257" s="16" t="str">
        <x:v>Wyoming Dinosaur Center</x:v>
      </x:c>
      <x:c r="F257" s="16" t="str">
        <x:v>Families, fossil fans</x:v>
      </x:c>
      <x:c r="G257" s="16" t="str">
        <x:v>Dinosaur skeletons and dig-site tours make paleontology hands-on.</x:v>
      </x:c>
      <x:c r="H257" s="16" t="str">
        <x:v>Science</x:v>
      </x:c>
      <x:c r="I257" s="16" t="str">
        <x:v>https://www.google.com/search?q=Wyoming%20Dinosaur%20Center%20Thermopolis%20Wyoming%20official%20website</x:v>
      </x:c>
      <x:c r="J257" s="16" t="str">
        <x:v>https://www.google.com/search?q=site%3Atravelwyoming.com%20Wyoming%20Dinosaur%20Center</x:v>
      </x:c>
      <x:c r="K257" s="16" t="str">
        <x:v>https://www.google.com/search?q=Wyoming%20Dinosaur%20Center%20Thermopolis%20Wyoming%20visitor%20information</x:v>
      </x:c>
      <x:c r="L257" s="16" t="str">
        <x:v>https://www.google.com/search?q=Wyoming%20Dinosaur%20Center%20Thermopolis%20Wyoming%20photos</x:v>
      </x:c>
      <x:c r="M257" s="16" t="str">
        <x:v>https://www.google.com/search?q=Wyoming%20Dinosaur%20Center%20Thermopolis%20Wyoming%20wikipedia%20OR%20wikivoyage</x:v>
      </x:c>
      <x:c r="N257" s="16" t="str">
        <x:v>https://www.google.com/maps/search/?api=1&amp;query=Wyoming%20Dinosaur%20Center%2C%20Thermopolis%2C%20Wyoming</x:v>
      </x:c>
      <x:c r="O257" s="17" t="b">
        <x:v>1</x:v>
      </x:c>
      <x:c r="P257" s="16" t="b">
        <x:f>IFERROR(VLOOKUP(A257,States!$A$2:$B$18,2,FALSE),FALSE)</x:f>
        <x:v>1</x:v>
      </x:c>
      <x:c r="Q257" s="16" t="b">
        <x:f>AND(OR(O257=TRUE,O257="TRUE"),OR(P257=TRUE,P257="TRUE"))</x:f>
        <x:v>1</x:v>
      </x:c>
    </x:row>
    <x:row r="258">
      <x:c r="A258" s="16" t="str">
        <x:v>Wyoming</x:v>
      </x:c>
      <x:c r="B258" s="16" t="str">
        <x:v>Lander</x:v>
      </x:c>
      <x:c r="C258" s="16" t="n">
        <x:v>-108.8</x:v>
      </x:c>
      <x:c r="D258" s="16" t="n">
        <x:v>42.743</x:v>
      </x:c>
      <x:c r="E258" s="16" t="str">
        <x:v>Sinks Canyon State Park</x:v>
      </x:c>
      <x:c r="F258" s="16" t="str">
        <x:v>Hikers, families, geology fans</x:v>
      </x:c>
      <x:c r="G258" s="16" t="str">
        <x:v>A river disappears underground and reemerges down canyon.</x:v>
      </x:c>
      <x:c r="H258" s="16" t="str">
        <x:v>Nature</x:v>
      </x:c>
      <x:c r="I258" s="16" t="str">
        <x:v>https://www.google.com/search?q=Sinks%20Canyon%20State%20Park%20Lander%20Wyoming%20official%20website</x:v>
      </x:c>
      <x:c r="J258" s="16" t="str">
        <x:v>https://www.google.com/search?q=site%3Atravelwyoming.com%20Sinks%20Canyon%20State%20Park</x:v>
      </x:c>
      <x:c r="K258" s="16" t="str">
        <x:v>https://www.google.com/search?q=Sinks%20Canyon%20State%20Park%20Lander%20Wyoming%20visitor%20information</x:v>
      </x:c>
      <x:c r="L258" s="16" t="str">
        <x:v>https://www.google.com/search?q=Sinks%20Canyon%20State%20Park%20Lander%20Wyoming%20photos</x:v>
      </x:c>
      <x:c r="M258" s="16" t="str">
        <x:v>https://www.google.com/search?q=Sinks%20Canyon%20State%20Park%20Lander%20Wyoming%20wikipedia%20OR%20wikivoyage</x:v>
      </x:c>
      <x:c r="N258" s="16" t="str">
        <x:v>https://www.google.com/maps/search/?api=1&amp;query=Sinks%20Canyon%20State%20Park%2C%20Lander%2C%20Wyoming</x:v>
      </x:c>
      <x:c r="O258" s="17" t="b">
        <x:v>1</x:v>
      </x:c>
      <x:c r="P258" s="16" t="b">
        <x:f>IFERROR(VLOOKUP(A258,States!$A$2:$B$18,2,FALSE),FALSE)</x:f>
        <x:v>1</x:v>
      </x:c>
      <x:c r="Q258" s="16" t="b">
        <x:f>AND(OR(O258=TRUE,O258="TRUE"),OR(P258=TRUE,P258="TRUE"))</x:f>
        <x:v>1</x:v>
      </x:c>
    </x:row>
    <x:row r="259">
      <x:c r="A259" s="16" t="str">
        <x:v>Wyoming</x:v>
      </x:c>
      <x:c r="B259" s="16" t="str">
        <x:v>Laramie</x:v>
      </x:c>
      <x:c r="C259" s="16" t="n">
        <x:v>-105.377</x:v>
      </x:c>
      <x:c r="D259" s="16" t="n">
        <x:v>41.156</x:v>
      </x:c>
      <x:c r="E259" s="16" t="str">
        <x:v>Vedauwoo Recreation Area</x:v>
      </x:c>
      <x:c r="F259" s="16" t="str">
        <x:v>Climbers, hikers, photographers</x:v>
      </x:c>
      <x:c r="G259" s="16" t="str">
        <x:v>Granite outcrops make a memorable stop near I-80.</x:v>
      </x:c>
      <x:c r="H259" s="16" t="str">
        <x:v>Nature</x:v>
      </x:c>
      <x:c r="I259" s="16" t="str">
        <x:v>https://www.google.com/search?q=Vedauwoo%20Recreation%20Area%20Laramie%20Wyoming%20official%20website</x:v>
      </x:c>
      <x:c r="J259" s="16" t="str">
        <x:v>https://www.google.com/search?q=site%3Atravelwyoming.com%20Vedauwoo%20Recreation%20Area</x:v>
      </x:c>
      <x:c r="K259" s="16" t="str">
        <x:v>https://www.google.com/search?q=Vedauwoo%20Recreation%20Area%20Laramie%20Wyoming%20visitor%20information</x:v>
      </x:c>
      <x:c r="L259" s="16" t="str">
        <x:v>https://www.google.com/search?q=Vedauwoo%20Recreation%20Area%20Laramie%20Wyoming%20photos</x:v>
      </x:c>
      <x:c r="M259" s="16" t="str">
        <x:v>https://www.google.com/search?q=Vedauwoo%20Recreation%20Area%20Laramie%20Wyoming%20wikipedia%20OR%20wikivoyage</x:v>
      </x:c>
      <x:c r="N259" s="16" t="str">
        <x:v>https://www.google.com/maps/search/?api=1&amp;query=Vedauwoo%20Recreation%20Area%2C%20Laramie%2C%20Wyoming</x:v>
      </x:c>
      <x:c r="O259" s="17" t="b">
        <x:v>1</x:v>
      </x:c>
      <x:c r="P259" s="16" t="b">
        <x:f>IFERROR(VLOOKUP(A259,States!$A$2:$B$18,2,FALSE),FALSE)</x:f>
        <x:v>1</x:v>
      </x:c>
      <x:c r="Q259" s="16" t="b">
        <x:f>AND(OR(O259=TRUE,O259="TRUE"),OR(P259=TRUE,P259="TRUE"))</x:f>
        <x:v>1</x:v>
      </x:c>
    </x:row>
    <x:row r="260">
      <x:c r="A260" s="16" t="str">
        <x:v>Wyoming</x:v>
      </x:c>
      <x:c r="B260" s="16" t="str">
        <x:v>Lovell</x:v>
      </x:c>
      <x:c r="C260" s="16" t="n">
        <x:v>-107.921</x:v>
      </x:c>
      <x:c r="D260" s="16" t="n">
        <x:v>44.826</x:v>
      </x:c>
      <x:c r="E260" s="16" t="str">
        <x:v>Medicine Wheel National Historic Landmark</x:v>
      </x:c>
      <x:c r="F260" s="16" t="str">
        <x:v>Culture travelers, hikers</x:v>
      </x:c>
      <x:c r="G260" s="16" t="str">
        <x:v>A sacred high-elevation stone site invites respectful reflection.</x:v>
      </x:c>
      <x:c r="H260" s="16" t="str">
        <x:v>Historic Site</x:v>
      </x:c>
      <x:c r="I260" s="16" t="str">
        <x:v>https://www.google.com/search?q=Medicine%20Wheel%20National%20Historic%20Landmark%20Lovell%20Wyoming%20official%20website</x:v>
      </x:c>
      <x:c r="J260" s="16" t="str">
        <x:v>https://www.google.com/search?q=site%3Atravelwyoming.com%20Medicine%20Wheel%20National%20Historic%20Landmark</x:v>
      </x:c>
      <x:c r="K260" s="16" t="str">
        <x:v>https://www.google.com/search?q=Medicine%20Wheel%20National%20Historic%20Landmark%20Lovell%20Wyoming%20visitor%20information</x:v>
      </x:c>
      <x:c r="L260" s="16" t="str">
        <x:v>https://www.google.com/search?q=Medicine%20Wheel%20National%20Historic%20Landmark%20Lovell%20Wyoming%20photos</x:v>
      </x:c>
      <x:c r="M260" s="16" t="str">
        <x:v>https://www.google.com/search?q=Medicine%20Wheel%20National%20Historic%20Landmark%20Lovell%20Wyoming%20wikipedia%20OR%20wikivoyage</x:v>
      </x:c>
      <x:c r="N260" s="16" t="str">
        <x:v>https://www.google.com/maps/search/?api=1&amp;query=Medicine%20Wheel%20National%20Historic%20Landmark%2C%20Lovell%2C%20Wyoming</x:v>
      </x:c>
      <x:c r="O260" s="17" t="b">
        <x:v>1</x:v>
      </x:c>
      <x:c r="P260" s="16" t="b">
        <x:f>IFERROR(VLOOKUP(A260,States!$A$2:$B$18,2,FALSE),FALSE)</x:f>
        <x:v>1</x:v>
      </x:c>
      <x:c r="Q260" s="16" t="b">
        <x:f>AND(OR(O260=TRUE,O260="TRUE"),OR(P260=TRUE,P260="TRUE"))</x:f>
        <x:v>1</x:v>
      </x:c>
    </x:row>
    <x:row r="261">
      <x:c r="A261" s="16" t="str">
        <x:v>Wyoming</x:v>
      </x:c>
      <x:c r="B261" s="16" t="str">
        <x:v>Centennial</x:v>
      </x:c>
      <x:c r="C261" s="16" t="n">
        <x:v>-106.268</x:v>
      </x:c>
      <x:c r="D261" s="16" t="n">
        <x:v>41.342</x:v>
      </x:c>
      <x:c r="E261" s="16" t="str">
        <x:v>Snowy Range Scenic Byway</x:v>
      </x:c>
      <x:c r="F261" s="16" t="str">
        <x:v>Scenic drivers, hikers, photographers</x:v>
      </x:c>
      <x:c r="G261" s="16" t="str">
        <x:v>Alpine lakes and peaks offer a beautiful southern Wyoming drive.</x:v>
      </x:c>
      <x:c r="H261" s="16" t="str">
        <x:v>Scenic Drive</x:v>
      </x:c>
      <x:c r="I261" s="16" t="str">
        <x:v>https://www.google.com/search?q=Snowy%20Range%20Scenic%20Byway%20Centennial%20Wyoming%20official%20website</x:v>
      </x:c>
      <x:c r="J261" s="16" t="str">
        <x:v>https://www.google.com/search?q=site%3Atravelwyoming.com%20Snowy%20Range%20Scenic%20Byway</x:v>
      </x:c>
      <x:c r="K261" s="16" t="str">
        <x:v>https://www.google.com/search?q=Snowy%20Range%20Scenic%20Byway%20Centennial%20Wyoming%20visitor%20information</x:v>
      </x:c>
      <x:c r="L261" s="16" t="str">
        <x:v>https://www.google.com/search?q=Snowy%20Range%20Scenic%20Byway%20Centennial%20Wyoming%20photos</x:v>
      </x:c>
      <x:c r="M261" s="16" t="str">
        <x:v>https://www.google.com/search?q=Snowy%20Range%20Scenic%20Byway%20Centennial%20Wyoming%20wikipedia%20OR%20wikivoyage</x:v>
      </x:c>
      <x:c r="N261" s="16" t="str">
        <x:v>https://www.google.com/maps/search/?api=1&amp;query=Snowy%20Range%20Scenic%20Byway%2C%20Centennial%2C%20Wyoming</x:v>
      </x:c>
      <x:c r="O261" s="17" t="b">
        <x:v>1</x:v>
      </x:c>
      <x:c r="P261" s="16" t="b">
        <x:f>IFERROR(VLOOKUP(A261,States!$A$2:$B$18,2,FALSE),FALSE)</x:f>
        <x:v>1</x:v>
      </x:c>
      <x:c r="Q261" s="16" t="b">
        <x:f>AND(OR(O261=TRUE,O261="TRUE"),OR(P261=TRUE,P261="TRUE"))</x:f>
        <x:v>1</x:v>
      </x:c>
    </x:row>
    <x:row r="262">
      <x:c r="A262" s="16" t="str">
        <x:v>Idaho</x:v>
      </x:c>
      <x:c r="B262" s="16" t="str">
        <x:v>Stanley</x:v>
      </x:c>
      <x:c r="C262" s="16" t="n">
        <x:v>-114.925</x:v>
      </x:c>
      <x:c r="D262" s="16" t="n">
        <x:v>44.215</x:v>
      </x:c>
      <x:c r="E262" s="16" t="str">
        <x:v>Sawtooth National Recreation Area</x:v>
      </x:c>
      <x:c r="F262" s="16" t="str">
        <x:v>Hikers, campers, photographers</x:v>
      </x:c>
      <x:c r="G262" s="16" t="str">
        <x:v>Jagged peaks and alpine lakes make Idaho's mountain signature.</x:v>
      </x:c>
      <x:c r="H262" s="16" t="str">
        <x:v>Nature</x:v>
      </x:c>
      <x:c r="I262" s="16" t="str">
        <x:v>https://www.google.com/search?q=Sawtooth%20National%20Recreation%20Area%20Stanley%20Idaho%20official%20website</x:v>
      </x:c>
      <x:c r="J262" s="16" t="str">
        <x:v>https://www.google.com/search?q=site%3Avisitidaho.org%20Sawtooth%20National%20Recreation%20Area</x:v>
      </x:c>
      <x:c r="K262" s="16" t="str">
        <x:v>https://www.google.com/search?q=Sawtooth%20National%20Recreation%20Area%20Stanley%20Idaho%20visitor%20information</x:v>
      </x:c>
      <x:c r="L262" s="16" t="str">
        <x:v>https://www.google.com/search?q=Sawtooth%20National%20Recreation%20Area%20Stanley%20Idaho%20photos</x:v>
      </x:c>
      <x:c r="M262" s="16" t="str">
        <x:v>https://www.google.com/search?q=Sawtooth%20National%20Recreation%20Area%20Stanley%20Idaho%20wikipedia%20OR%20wikivoyage</x:v>
      </x:c>
      <x:c r="N262" s="16" t="str">
        <x:v>https://www.google.com/maps/search/?api=1&amp;query=Sawtooth%20National%20Recreation%20Area%2C%20Stanley%2C%20Idaho</x:v>
      </x:c>
      <x:c r="O262" s="17" t="b">
        <x:v>1</x:v>
      </x:c>
      <x:c r="P262" s="16" t="b">
        <x:f>IFERROR(VLOOKUP(A262,States!$A$2:$B$18,2,FALSE),FALSE)</x:f>
        <x:v>1</x:v>
      </x:c>
      <x:c r="Q262" s="16" t="b">
        <x:f>AND(OR(O262=TRUE,O262="TRUE"),OR(P262=TRUE,P262="TRUE"))</x:f>
        <x:v>1</x:v>
      </x:c>
    </x:row>
    <x:row r="263">
      <x:c r="A263" s="16" t="str">
        <x:v>Idaho</x:v>
      </x:c>
      <x:c r="B263" s="16" t="str">
        <x:v>Arco</x:v>
      </x:c>
      <x:c r="C263" s="16" t="n">
        <x:v>-113.517</x:v>
      </x:c>
      <x:c r="D263" s="16" t="n">
        <x:v>43.416</x:v>
      </x:c>
      <x:c r="E263" s="16" t="str">
        <x:v>Craters of the Moon National Monument</x:v>
      </x:c>
      <x:c r="F263" s="16" t="str">
        <x:v>Families, geology fans</x:v>
      </x:c>
      <x:c r="G263" s="16" t="str">
        <x:v>Lava fields, cones, and caves create a stark volcanic landscape.</x:v>
      </x:c>
      <x:c r="H263" s="16" t="str">
        <x:v>National Monument</x:v>
      </x:c>
      <x:c r="I263" s="16" t="str">
        <x:v>https://www.google.com/search?q=Craters%20of%20the%20Moon%20National%20Monument%20Arco%20Idaho%20official%20website</x:v>
      </x:c>
      <x:c r="J263" s="16" t="str">
        <x:v>https://www.google.com/search?q=site%3Avisitidaho.org%20Craters%20of%20the%20Moon%20National%20Monument</x:v>
      </x:c>
      <x:c r="K263" s="16" t="str">
        <x:v>https://www.google.com/search?q=Craters%20of%20the%20Moon%20National%20Monument%20Arco%20Idaho%20visitor%20information</x:v>
      </x:c>
      <x:c r="L263" s="16" t="str">
        <x:v>https://www.google.com/search?q=Craters%20of%20the%20Moon%20National%20Monument%20Arco%20Idaho%20photos</x:v>
      </x:c>
      <x:c r="M263" s="16" t="str">
        <x:v>https://www.google.com/search?q=site%3Anps.gov%20Craters%20of%20the%20Moon%20National%20Monument</x:v>
      </x:c>
      <x:c r="N263" s="16" t="str">
        <x:v>https://www.google.com/maps/search/?api=1&amp;query=Craters%20of%20the%20Moon%20National%20Monument%2C%20Arco%2C%20Idaho</x:v>
      </x:c>
      <x:c r="O263" s="17" t="b">
        <x:v>1</x:v>
      </x:c>
      <x:c r="P263" s="16" t="b">
        <x:f>IFERROR(VLOOKUP(A263,States!$A$2:$B$18,2,FALSE),FALSE)</x:f>
        <x:v>1</x:v>
      </x:c>
      <x:c r="Q263" s="16" t="b">
        <x:f>AND(OR(O263=TRUE,O263="TRUE"),OR(P263=TRUE,P263="TRUE"))</x:f>
        <x:v>1</x:v>
      </x:c>
    </x:row>
    <x:row r="264">
      <x:c r="A264" s="16" t="str">
        <x:v>Idaho</x:v>
      </x:c>
      <x:c r="B264" s="16" t="str">
        <x:v>Twin Falls</x:v>
      </x:c>
      <x:c r="C264" s="16" t="n">
        <x:v>-114.401</x:v>
      </x:c>
      <x:c r="D264" s="16" t="n">
        <x:v>42.595</x:v>
      </x:c>
      <x:c r="E264" s="16" t="str">
        <x:v>Shoshone Falls</x:v>
      </x:c>
      <x:c r="F264" s="16" t="str">
        <x:v>Families, photographers</x:v>
      </x:c>
      <x:c r="G264" s="16" t="str">
        <x:v>A broad Snake River waterfall earns the nickname Niagara of the West.</x:v>
      </x:c>
      <x:c r="H264" s="16" t="str">
        <x:v>Nature</x:v>
      </x:c>
      <x:c r="I264" s="16" t="str">
        <x:v>https://www.google.com/search?q=Shoshone%20Falls%20Twin%20Falls%20Idaho%20official%20website</x:v>
      </x:c>
      <x:c r="J264" s="16" t="str">
        <x:v>https://www.google.com/search?q=site%3Avisitidaho.org%20Shoshone%20Falls</x:v>
      </x:c>
      <x:c r="K264" s="16" t="str">
        <x:v>https://www.google.com/search?q=Shoshone%20Falls%20Twin%20Falls%20Idaho%20visitor%20information</x:v>
      </x:c>
      <x:c r="L264" s="16" t="str">
        <x:v>https://www.google.com/search?q=Shoshone%20Falls%20Twin%20Falls%20Idaho%20photos</x:v>
      </x:c>
      <x:c r="M264" s="16" t="str">
        <x:v>https://www.google.com/search?q=Shoshone%20Falls%20Twin%20Falls%20Idaho%20wikipedia%20OR%20wikivoyage</x:v>
      </x:c>
      <x:c r="N264" s="16" t="str">
        <x:v>https://www.google.com/maps/search/?api=1&amp;query=Shoshone%20Falls%2C%20Twin%20Falls%2C%20Idaho</x:v>
      </x:c>
      <x:c r="O264" s="17" t="b">
        <x:v>1</x:v>
      </x:c>
      <x:c r="P264" s="16" t="b">
        <x:f>IFERROR(VLOOKUP(A264,States!$A$2:$B$18,2,FALSE),FALSE)</x:f>
        <x:v>1</x:v>
      </x:c>
      <x:c r="Q264" s="16" t="b">
        <x:f>AND(OR(O264=TRUE,O264="TRUE"),OR(P264=TRUE,P264="TRUE"))</x:f>
        <x:v>1</x:v>
      </x:c>
    </x:row>
    <x:row r="265">
      <x:c r="A265" s="16" t="str">
        <x:v>Idaho</x:v>
      </x:c>
      <x:c r="B265" s="16" t="str">
        <x:v>Riggins</x:v>
      </x:c>
      <x:c r="C265" s="16" t="n">
        <x:v>-116.699</x:v>
      </x:c>
      <x:c r="D265" s="16" t="n">
        <x:v>45.55</x:v>
      </x:c>
      <x:c r="E265" s="16" t="str">
        <x:v>Hells Canyon</x:v>
      </x:c>
      <x:c r="F265" s="16" t="str">
        <x:v>Boaters, scenic drivers, adventure travelers</x:v>
      </x:c>
      <x:c r="G265" s="16" t="str">
        <x:v>North America's deepest river gorge delivers dramatic views and rafting.</x:v>
      </x:c>
      <x:c r="H265" s="16" t="str">
        <x:v>Nature</x:v>
      </x:c>
      <x:c r="I265" s="16" t="str">
        <x:v>https://www.google.com/search?q=Hells%20Canyon%20Riggins%20Idaho%20official%20website</x:v>
      </x:c>
      <x:c r="J265" s="16" t="str">
        <x:v>https://www.google.com/search?q=site%3Avisitidaho.org%20Hells%20Canyon</x:v>
      </x:c>
      <x:c r="K265" s="16" t="str">
        <x:v>https://www.google.com/search?q=Hells%20Canyon%20Riggins%20Idaho%20visitor%20information</x:v>
      </x:c>
      <x:c r="L265" s="16" t="str">
        <x:v>https://www.google.com/search?q=Hells%20Canyon%20Riggins%20Idaho%20photos</x:v>
      </x:c>
      <x:c r="M265" s="16" t="str">
        <x:v>https://www.google.com/search?q=Hells%20Canyon%20Riggins%20Idaho%20wikipedia%20OR%20wikivoyage</x:v>
      </x:c>
      <x:c r="N265" s="16" t="str">
        <x:v>https://www.google.com/maps/search/?api=1&amp;query=Hells%20Canyon%2C%20Riggins%2C%20Idaho</x:v>
      </x:c>
      <x:c r="O265" s="17" t="b">
        <x:v>1</x:v>
      </x:c>
      <x:c r="P265" s="16" t="b">
        <x:f>IFERROR(VLOOKUP(A265,States!$A$2:$B$18,2,FALSE),FALSE)</x:f>
        <x:v>1</x:v>
      </x:c>
      <x:c r="Q265" s="16" t="b">
        <x:f>AND(OR(O265=TRUE,O265="TRUE"),OR(P265=TRUE,P265="TRUE"))</x:f>
        <x:v>1</x:v>
      </x:c>
    </x:row>
    <x:row r="266">
      <x:c r="A266" s="16" t="str">
        <x:v>Idaho</x:v>
      </x:c>
      <x:c r="B266" s="16" t="str">
        <x:v>Coeur d'Alene</x:v>
      </x:c>
      <x:c r="C266" s="16" t="n">
        <x:v>-116.78</x:v>
      </x:c>
      <x:c r="D266" s="16" t="n">
        <x:v>47.677</x:v>
      </x:c>
      <x:c r="E266" s="16" t="str">
        <x:v>Lake Coeur d'Alene</x:v>
      </x:c>
      <x:c r="F266" s="16" t="str">
        <x:v>Families, boaters, couples</x:v>
      </x:c>
      <x:c r="G266" s="16" t="str">
        <x:v>Lakefront paths, boating, and mountain views make a polished stop.</x:v>
      </x:c>
      <x:c r="H266" s="16" t="str">
        <x:v>Waterfront</x:v>
      </x:c>
      <x:c r="I266" s="16" t="str">
        <x:v>https://www.google.com/search?q=Lake%20Coeur%20d'Alene%20Coeur%20d'Alene%20Idaho%20official%20website</x:v>
      </x:c>
      <x:c r="J266" s="16" t="str">
        <x:v>https://www.google.com/search?q=site%3Avisitidaho.org%20Lake%20Coeur%20d'Alene</x:v>
      </x:c>
      <x:c r="K266" s="16" t="str">
        <x:v>https://www.google.com/search?q=Lake%20Coeur%20d'Alene%20Coeur%20d'Alene%20Idaho%20visitor%20information</x:v>
      </x:c>
      <x:c r="L266" s="16" t="str">
        <x:v>https://www.google.com/search?q=Lake%20Coeur%20d'Alene%20Coeur%20d'Alene%20Idaho%20photos</x:v>
      </x:c>
      <x:c r="M266" s="16" t="str">
        <x:v>https://www.google.com/search?q=Lake%20Coeur%20d'Alene%20Coeur%20d'Alene%20Idaho%20wikipedia%20OR%20wikivoyage</x:v>
      </x:c>
      <x:c r="N266" s="16" t="str">
        <x:v>https://www.google.com/maps/search/?api=1&amp;query=Lake%20Coeur%20d'Alene%2C%20Coeur%20d'Alene%2C%20Idaho</x:v>
      </x:c>
      <x:c r="O266" s="17" t="b">
        <x:v>1</x:v>
      </x:c>
      <x:c r="P266" s="16" t="b">
        <x:f>IFERROR(VLOOKUP(A266,States!$A$2:$B$18,2,FALSE),FALSE)</x:f>
        <x:v>1</x:v>
      </x:c>
      <x:c r="Q266" s="16" t="b">
        <x:f>AND(OR(O266=TRUE,O266="TRUE"),OR(P266=TRUE,P266="TRUE"))</x:f>
        <x:v>1</x:v>
      </x:c>
    </x:row>
    <x:row r="267">
      <x:c r="A267" s="16" t="str">
        <x:v>Idaho</x:v>
      </x:c>
      <x:c r="B267" s="16" t="str">
        <x:v>Boise</x:v>
      </x:c>
      <x:c r="C267" s="16" t="n">
        <x:v>-116.203</x:v>
      </x:c>
      <x:c r="D267" s="16" t="n">
        <x:v>43.615</x:v>
      </x:c>
      <x:c r="E267" s="16" t="str">
        <x:v>Boise River Greenbelt</x:v>
      </x:c>
      <x:c r="F267" s="16" t="str">
        <x:v>Cyclists, walkers, families</x:v>
      </x:c>
      <x:c r="G267" s="16" t="str">
        <x:v>A leafy river path connects parks, downtown, and neighborhoods.</x:v>
      </x:c>
      <x:c r="H267" s="16" t="str">
        <x:v>Trail</x:v>
      </x:c>
      <x:c r="I267" s="16" t="str">
        <x:v>https://www.google.com/search?q=Boise%20River%20Greenbelt%20Boise%20Idaho%20official%20website</x:v>
      </x:c>
      <x:c r="J267" s="16" t="str">
        <x:v>https://www.google.com/search?q=site%3Avisitidaho.org%20Boise%20River%20Greenbelt</x:v>
      </x:c>
      <x:c r="K267" s="16" t="str">
        <x:v>https://www.google.com/search?q=Boise%20River%20Greenbelt%20Boise%20Idaho%20visitor%20information</x:v>
      </x:c>
      <x:c r="L267" s="16" t="str">
        <x:v>https://www.google.com/search?q=Boise%20River%20Greenbelt%20Boise%20Idaho%20photos</x:v>
      </x:c>
      <x:c r="M267" s="16" t="str">
        <x:v>https://www.google.com/search?q=Boise%20River%20Greenbelt%20Boise%20Idaho%20wikipedia%20OR%20wikivoyage</x:v>
      </x:c>
      <x:c r="N267" s="16" t="str">
        <x:v>https://www.google.com/maps/search/?api=1&amp;query=Boise%20River%20Greenbelt%2C%20Boise%2C%20Idaho</x:v>
      </x:c>
      <x:c r="O267" s="17" t="b">
        <x:v>1</x:v>
      </x:c>
      <x:c r="P267" s="16" t="b">
        <x:f>IFERROR(VLOOKUP(A267,States!$A$2:$B$18,2,FALSE),FALSE)</x:f>
        <x:v>1</x:v>
      </x:c>
      <x:c r="Q267" s="16" t="b">
        <x:f>AND(OR(O267=TRUE,O267="TRUE"),OR(P267=TRUE,P267="TRUE"))</x:f>
        <x:v>1</x:v>
      </x:c>
    </x:row>
    <x:row r="268">
      <x:c r="A268" s="16" t="str">
        <x:v>Idaho</x:v>
      </x:c>
      <x:c r="B268" s="16" t="str">
        <x:v>Boise</x:v>
      </x:c>
      <x:c r="C268" s="16" t="n">
        <x:v>-116.162</x:v>
      </x:c>
      <x:c r="D268" s="16" t="n">
        <x:v>43.602</x:v>
      </x:c>
      <x:c r="E268" s="16" t="str">
        <x:v>Old Idaho Penitentiary</x:v>
      </x:c>
      <x:c r="F268" s="16" t="str">
        <x:v>History fans, families</x:v>
      </x:c>
      <x:c r="G268" s="16" t="str">
        <x:v>Cell blocks and exhibits tell prison, crime, and state history.</x:v>
      </x:c>
      <x:c r="H268" s="16" t="str">
        <x:v>Historic Site</x:v>
      </x:c>
      <x:c r="I268" s="16" t="str">
        <x:v>https://www.google.com/search?q=Old%20Idaho%20Penitentiary%20Boise%20Idaho%20official%20website</x:v>
      </x:c>
      <x:c r="J268" s="16" t="str">
        <x:v>https://www.google.com/search?q=site%3Avisitidaho.org%20Old%20Idaho%20Penitentiary</x:v>
      </x:c>
      <x:c r="K268" s="16" t="str">
        <x:v>https://www.google.com/search?q=Old%20Idaho%20Penitentiary%20Boise%20Idaho%20visitor%20information</x:v>
      </x:c>
      <x:c r="L268" s="16" t="str">
        <x:v>https://www.google.com/search?q=Old%20Idaho%20Penitentiary%20Boise%20Idaho%20photos</x:v>
      </x:c>
      <x:c r="M268" s="16" t="str">
        <x:v>https://www.google.com/search?q=Old%20Idaho%20Penitentiary%20Boise%20Idaho%20wikipedia%20OR%20wikivoyage</x:v>
      </x:c>
      <x:c r="N268" s="16" t="str">
        <x:v>https://www.google.com/maps/search/?api=1&amp;query=Old%20Idaho%20Penitentiary%2C%20Boise%2C%20Idaho</x:v>
      </x:c>
      <x:c r="O268" s="17" t="b">
        <x:v>1</x:v>
      </x:c>
      <x:c r="P268" s="16" t="b">
        <x:f>IFERROR(VLOOKUP(A268,States!$A$2:$B$18,2,FALSE),FALSE)</x:f>
        <x:v>1</x:v>
      </x:c>
      <x:c r="Q268" s="16" t="b">
        <x:f>AND(OR(O268=TRUE,O268="TRUE"),OR(P268=TRUE,P268="TRUE"))</x:f>
        <x:v>1</x:v>
      </x:c>
    </x:row>
    <x:row r="269">
      <x:c r="A269" s="16" t="str">
        <x:v>Idaho</x:v>
      </x:c>
      <x:c r="B269" s="16" t="str">
        <x:v>Boise</x:v>
      </x:c>
      <x:c r="C269" s="16" t="n">
        <x:v>-116.16</x:v>
      </x:c>
      <x:c r="D269" s="16" t="n">
        <x:v>43.6</x:v>
      </x:c>
      <x:c r="E269" s="16" t="str">
        <x:v>Idaho Botanical Garden</x:v>
      </x:c>
      <x:c r="F269" s="16" t="str">
        <x:v>Garden lovers, families</x:v>
      </x:c>
      <x:c r="G269" s="16" t="str">
        <x:v>Dry-climate gardens and seasonal events fill a foothills setting.</x:v>
      </x:c>
      <x:c r="H269" s="16" t="str">
        <x:v>Garden</x:v>
      </x:c>
      <x:c r="I269" s="16" t="str">
        <x:v>https://www.google.com/search?q=Idaho%20Botanical%20Garden%20Boise%20Idaho%20official%20website</x:v>
      </x:c>
      <x:c r="J269" s="16" t="str">
        <x:v>https://www.google.com/search?q=site%3Avisitidaho.org%20Idaho%20Botanical%20Garden</x:v>
      </x:c>
      <x:c r="K269" s="16" t="str">
        <x:v>https://www.google.com/search?q=Idaho%20Botanical%20Garden%20Boise%20Idaho%20visitor%20information</x:v>
      </x:c>
      <x:c r="L269" s="16" t="str">
        <x:v>https://www.google.com/search?q=Idaho%20Botanical%20Garden%20Boise%20Idaho%20photos</x:v>
      </x:c>
      <x:c r="M269" s="16" t="str">
        <x:v>https://www.google.com/search?q=Idaho%20Botanical%20Garden%20Boise%20Idaho%20wikipedia%20OR%20wikivoyage</x:v>
      </x:c>
      <x:c r="N269" s="16" t="str">
        <x:v>https://www.google.com/maps/search/?api=1&amp;query=Idaho%20Botanical%20Garden%2C%20Boise%2C%20Idaho</x:v>
      </x:c>
      <x:c r="O269" s="17" t="b">
        <x:v>1</x:v>
      </x:c>
      <x:c r="P269" s="16" t="b">
        <x:f>IFERROR(VLOOKUP(A269,States!$A$2:$B$18,2,FALSE),FALSE)</x:f>
        <x:v>1</x:v>
      </x:c>
      <x:c r="Q269" s="16" t="b">
        <x:f>AND(OR(O269=TRUE,O269="TRUE"),OR(P269=TRUE,P269="TRUE"))</x:f>
        <x:v>1</x:v>
      </x:c>
    </x:row>
    <x:row r="270">
      <x:c r="A270" s="16" t="str">
        <x:v>Idaho</x:v>
      </x:c>
      <x:c r="B270" s="16" t="str">
        <x:v>Sun Valley</x:v>
      </x:c>
      <x:c r="C270" s="16" t="n">
        <x:v>-114.351</x:v>
      </x:c>
      <x:c r="D270" s="16" t="n">
        <x:v>43.697</x:v>
      </x:c>
      <x:c r="E270" s="16" t="str">
        <x:v>Sun Valley Resort</x:v>
      </x:c>
      <x:c r="F270" s="16" t="str">
        <x:v>Skiers, golfers, couples</x:v>
      </x:c>
      <x:c r="G270" s="16" t="str">
        <x:v>A historic mountain resort anchors skiing, skating, and summer recreation.</x:v>
      </x:c>
      <x:c r="H270" s="16" t="str">
        <x:v>Resort</x:v>
      </x:c>
      <x:c r="I270" s="16" t="str">
        <x:v>https://www.google.com/search?q=Sun%20Valley%20Resort%20Sun%20Valley%20Idaho%20official%20website</x:v>
      </x:c>
      <x:c r="J270" s="16" t="str">
        <x:v>https://www.google.com/search?q=site%3Avisitidaho.org%20Sun%20Valley%20Resort</x:v>
      </x:c>
      <x:c r="K270" s="16" t="str">
        <x:v>https://www.google.com/search?q=Sun%20Valley%20Resort%20Sun%20Valley%20Idaho%20visitor%20information</x:v>
      </x:c>
      <x:c r="L270" s="16" t="str">
        <x:v>https://www.google.com/search?q=Sun%20Valley%20Resort%20Sun%20Valley%20Idaho%20photos</x:v>
      </x:c>
      <x:c r="M270" s="16" t="str">
        <x:v>https://www.google.com/search?q=Sun%20Valley%20Resort%20Sun%20Valley%20Idaho%20wikipedia%20OR%20wikivoyage</x:v>
      </x:c>
      <x:c r="N270" s="16" t="str">
        <x:v>https://www.google.com/maps/search/?api=1&amp;query=Sun%20Valley%20Resort%2C%20Sun%20Valley%2C%20Idaho</x:v>
      </x:c>
      <x:c r="O270" s="17" t="b">
        <x:v>1</x:v>
      </x:c>
      <x:c r="P270" s="16" t="b">
        <x:f>IFERROR(VLOOKUP(A270,States!$A$2:$B$18,2,FALSE),FALSE)</x:f>
        <x:v>1</x:v>
      </x:c>
      <x:c r="Q270" s="16" t="b">
        <x:f>AND(OR(O270=TRUE,O270="TRUE"),OR(P270=TRUE,P270="TRUE"))</x:f>
        <x:v>1</x:v>
      </x:c>
    </x:row>
    <x:row r="271">
      <x:c r="A271" s="16" t="str">
        <x:v>Idaho</x:v>
      </x:c>
      <x:c r="B271" s="16" t="str">
        <x:v>Almo</x:v>
      </x:c>
      <x:c r="C271" s="16" t="n">
        <x:v>-113.712</x:v>
      </x:c>
      <x:c r="D271" s="16" t="n">
        <x:v>42.078</x:v>
      </x:c>
      <x:c r="E271" s="16" t="str">
        <x:v>City of Rocks National Reserve</x:v>
      </x:c>
      <x:c r="F271" s="16" t="str">
        <x:v>Climbers, campers, photographers</x:v>
      </x:c>
      <x:c r="G271" s="16" t="str">
        <x:v>Granite spires create one of the West's most distinctive climbing landscapes.</x:v>
      </x:c>
      <x:c r="H271" s="16" t="str">
        <x:v>Nature</x:v>
      </x:c>
      <x:c r="I271" s="16" t="str">
        <x:v>https://www.google.com/search?q=City%20of%20Rocks%20National%20Reserve%20Almo%20Idaho%20official%20website</x:v>
      </x:c>
      <x:c r="J271" s="16" t="str">
        <x:v>https://www.google.com/search?q=site%3Avisitidaho.org%20City%20of%20Rocks%20National%20Reserve</x:v>
      </x:c>
      <x:c r="K271" s="16" t="str">
        <x:v>https://www.google.com/search?q=City%20of%20Rocks%20National%20Reserve%20Almo%20Idaho%20visitor%20information</x:v>
      </x:c>
      <x:c r="L271" s="16" t="str">
        <x:v>https://www.google.com/search?q=City%20of%20Rocks%20National%20Reserve%20Almo%20Idaho%20photos</x:v>
      </x:c>
      <x:c r="M271" s="16" t="str">
        <x:v>https://www.google.com/search?q=City%20of%20Rocks%20National%20Reserve%20Almo%20Idaho%20wikipedia%20OR%20wikivoyage</x:v>
      </x:c>
      <x:c r="N271" s="16" t="str">
        <x:v>https://www.google.com/maps/search/?api=1&amp;query=City%20of%20Rocks%20National%20Reserve%2C%20Almo%2C%20Idaho</x:v>
      </x:c>
      <x:c r="O271" s="17" t="b">
        <x:v>1</x:v>
      </x:c>
      <x:c r="P271" s="16" t="b">
        <x:f>IFERROR(VLOOKUP(A271,States!$A$2:$B$18,2,FALSE),FALSE)</x:f>
        <x:v>1</x:v>
      </x:c>
      <x:c r="Q271" s="16" t="b">
        <x:f>AND(OR(O271=TRUE,O271="TRUE"),OR(P271=TRUE,P271="TRUE"))</x:f>
        <x:v>1</x:v>
      </x:c>
    </x:row>
    <x:row r="272">
      <x:c r="A272" s="16" t="str">
        <x:v>Idaho</x:v>
      </x:c>
      <x:c r="B272" s="16" t="str">
        <x:v>Bruneau</x:v>
      </x:c>
      <x:c r="C272" s="16" t="n">
        <x:v>-115.693</x:v>
      </x:c>
      <x:c r="D272" s="16" t="n">
        <x:v>42.91</x:v>
      </x:c>
      <x:c r="E272" s="16" t="str">
        <x:v>Bruneau Dunes State Park</x:v>
      </x:c>
      <x:c r="F272" s="16" t="str">
        <x:v>Families, sandboarders, stargazers</x:v>
      </x:c>
      <x:c r="G272" s="16" t="str">
        <x:v>Tall dunes, camping, and observatory programs make a unique stop.</x:v>
      </x:c>
      <x:c r="H272" s="16" t="str">
        <x:v>Nature</x:v>
      </x:c>
      <x:c r="I272" s="16" t="str">
        <x:v>https://www.google.com/search?q=Bruneau%20Dunes%20State%20Park%20Bruneau%20Idaho%20official%20website</x:v>
      </x:c>
      <x:c r="J272" s="16" t="str">
        <x:v>https://www.google.com/search?q=site%3Avisitidaho.org%20Bruneau%20Dunes%20State%20Park</x:v>
      </x:c>
      <x:c r="K272" s="16" t="str">
        <x:v>https://www.google.com/search?q=Bruneau%20Dunes%20State%20Park%20Bruneau%20Idaho%20visitor%20information</x:v>
      </x:c>
      <x:c r="L272" s="16" t="str">
        <x:v>https://www.google.com/search?q=Bruneau%20Dunes%20State%20Park%20Bruneau%20Idaho%20photos</x:v>
      </x:c>
      <x:c r="M272" s="16" t="str">
        <x:v>https://www.google.com/search?q=Bruneau%20Dunes%20State%20Park%20Bruneau%20Idaho%20wikipedia%20OR%20wikivoyage</x:v>
      </x:c>
      <x:c r="N272" s="16" t="str">
        <x:v>https://www.google.com/maps/search/?api=1&amp;query=Bruneau%20Dunes%20State%20Park%2C%20Bruneau%2C%20Idaho</x:v>
      </x:c>
      <x:c r="O272" s="17" t="b">
        <x:v>1</x:v>
      </x:c>
      <x:c r="P272" s="16" t="b">
        <x:f>IFERROR(VLOOKUP(A272,States!$A$2:$B$18,2,FALSE),FALSE)</x:f>
        <x:v>1</x:v>
      </x:c>
      <x:c r="Q272" s="16" t="b">
        <x:f>AND(OR(O272=TRUE,O272="TRUE"),OR(P272=TRUE,P272="TRUE"))</x:f>
        <x:v>1</x:v>
      </x:c>
    </x:row>
    <x:row r="273">
      <x:c r="A273" s="16" t="str">
        <x:v>Idaho</x:v>
      </x:c>
      <x:c r="B273" s="16" t="str">
        <x:v>Ashton</x:v>
      </x:c>
      <x:c r="C273" s="16" t="n">
        <x:v>-111.333</x:v>
      </x:c>
      <x:c r="D273" s="16" t="n">
        <x:v>44.175</x:v>
      </x:c>
      <x:c r="E273" s="16" t="str">
        <x:v>Mesa Falls</x:v>
      </x:c>
      <x:c r="F273" s="16" t="str">
        <x:v>Families, photographers</x:v>
      </x:c>
      <x:c r="G273" s="16" t="str">
        <x:v>Powerful waterfalls sit in forested country near the Teton route.</x:v>
      </x:c>
      <x:c r="H273" s="16" t="str">
        <x:v>Nature</x:v>
      </x:c>
      <x:c r="I273" s="16" t="str">
        <x:v>https://www.google.com/search?q=Mesa%20Falls%20Ashton%20Idaho%20official%20website</x:v>
      </x:c>
      <x:c r="J273" s="16" t="str">
        <x:v>https://www.google.com/search?q=site%3Avisitidaho.org%20Mesa%20Falls</x:v>
      </x:c>
      <x:c r="K273" s="16" t="str">
        <x:v>https://www.google.com/search?q=Mesa%20Falls%20Ashton%20Idaho%20visitor%20information</x:v>
      </x:c>
      <x:c r="L273" s="16" t="str">
        <x:v>https://www.google.com/search?q=Mesa%20Falls%20Ashton%20Idaho%20photos</x:v>
      </x:c>
      <x:c r="M273" s="16" t="str">
        <x:v>https://www.google.com/search?q=Mesa%20Falls%20Ashton%20Idaho%20wikipedia%20OR%20wikivoyage</x:v>
      </x:c>
      <x:c r="N273" s="16" t="str">
        <x:v>https://www.google.com/maps/search/?api=1&amp;query=Mesa%20Falls%2C%20Ashton%2C%20Idaho</x:v>
      </x:c>
      <x:c r="O273" s="17" t="b">
        <x:v>1</x:v>
      </x:c>
      <x:c r="P273" s="16" t="b">
        <x:f>IFERROR(VLOOKUP(A273,States!$A$2:$B$18,2,FALSE),FALSE)</x:f>
        <x:v>1</x:v>
      </x:c>
      <x:c r="Q273" s="16" t="b">
        <x:f>AND(OR(O273=TRUE,O273="TRUE"),OR(P273=TRUE,P273="TRUE"))</x:f>
        <x:v>1</x:v>
      </x:c>
    </x:row>
    <x:row r="274">
      <x:c r="A274" s="16" t="str">
        <x:v>Idaho</x:v>
      </x:c>
      <x:c r="B274" s="16" t="str">
        <x:v>Hagerman</x:v>
      </x:c>
      <x:c r="C274" s="16" t="n">
        <x:v>-114.878</x:v>
      </x:c>
      <x:c r="D274" s="16" t="n">
        <x:v>42.811</x:v>
      </x:c>
      <x:c r="E274" s="16" t="str">
        <x:v>Thousand Springs State Park</x:v>
      </x:c>
      <x:c r="F274" s="16" t="str">
        <x:v>Scenic drivers, kayakers, families</x:v>
      </x:c>
      <x:c r="G274" s="16" t="str">
        <x:v>Springs and waterfalls pour from canyon walls into the Snake River.</x:v>
      </x:c>
      <x:c r="H274" s="16" t="str">
        <x:v>Nature</x:v>
      </x:c>
      <x:c r="I274" s="16" t="str">
        <x:v>https://www.google.com/search?q=Thousand%20Springs%20State%20Park%20Hagerman%20Idaho%20official%20website</x:v>
      </x:c>
      <x:c r="J274" s="16" t="str">
        <x:v>https://www.google.com/search?q=site%3Avisitidaho.org%20Thousand%20Springs%20State%20Park</x:v>
      </x:c>
      <x:c r="K274" s="16" t="str">
        <x:v>https://www.google.com/search?q=Thousand%20Springs%20State%20Park%20Hagerman%20Idaho%20visitor%20information</x:v>
      </x:c>
      <x:c r="L274" s="16" t="str">
        <x:v>https://www.google.com/search?q=Thousand%20Springs%20State%20Park%20Hagerman%20Idaho%20photos</x:v>
      </x:c>
      <x:c r="M274" s="16" t="str">
        <x:v>https://www.google.com/search?q=Thousand%20Springs%20State%20Park%20Hagerman%20Idaho%20wikipedia%20OR%20wikivoyage</x:v>
      </x:c>
      <x:c r="N274" s="16" t="str">
        <x:v>https://www.google.com/maps/search/?api=1&amp;query=Thousand%20Springs%20State%20Park%2C%20Hagerman%2C%20Idaho</x:v>
      </x:c>
      <x:c r="O274" s="17" t="b">
        <x:v>1</x:v>
      </x:c>
      <x:c r="P274" s="16" t="b">
        <x:f>IFERROR(VLOOKUP(A274,States!$A$2:$B$18,2,FALSE),FALSE)</x:f>
        <x:v>1</x:v>
      </x:c>
      <x:c r="Q274" s="16" t="b">
        <x:f>AND(OR(O274=TRUE,O274="TRUE"),OR(P274=TRUE,P274="TRUE"))</x:f>
        <x:v>1</x:v>
      </x:c>
    </x:row>
    <x:row r="275">
      <x:c r="A275" s="16" t="str">
        <x:v>Idaho</x:v>
      </x:c>
      <x:c r="B275" s="16" t="str">
        <x:v>Athol</x:v>
      </x:c>
      <x:c r="C275" s="16" t="n">
        <x:v>-116.705</x:v>
      </x:c>
      <x:c r="D275" s="16" t="n">
        <x:v>47.909</x:v>
      </x:c>
      <x:c r="E275" s="16" t="str">
        <x:v>Silverwood Theme Park</x:v>
      </x:c>
      <x:c r="F275" s="16" t="str">
        <x:v>Families, thrill seekers</x:v>
      </x:c>
      <x:c r="G275" s="16" t="str">
        <x:v>The Northwest's largest theme park combines coasters and water rides.</x:v>
      </x:c>
      <x:c r="H275" s="16" t="str">
        <x:v>Theme Park</x:v>
      </x:c>
      <x:c r="I275" s="16" t="str">
        <x:v>https://www.google.com/search?q=Silverwood%20Theme%20Park%20Athol%20Idaho%20official%20website</x:v>
      </x:c>
      <x:c r="J275" s="16" t="str">
        <x:v>https://www.google.com/search?q=site%3Avisitidaho.org%20Silverwood%20Theme%20Park</x:v>
      </x:c>
      <x:c r="K275" s="16" t="str">
        <x:v>https://www.google.com/search?q=Silverwood%20Theme%20Park%20Athol%20Idaho%20visitor%20information</x:v>
      </x:c>
      <x:c r="L275" s="16" t="str">
        <x:v>https://www.google.com/search?q=Silverwood%20Theme%20Park%20Athol%20Idaho%20photos</x:v>
      </x:c>
      <x:c r="M275" s="16" t="str">
        <x:v>https://www.google.com/search?q=Silverwood%20Theme%20Park%20Athol%20Idaho%20wikipedia%20OR%20wikivoyage</x:v>
      </x:c>
      <x:c r="N275" s="16" t="str">
        <x:v>https://www.google.com/maps/search/?api=1&amp;query=Silverwood%20Theme%20Park%2C%20Athol%2C%20Idaho</x:v>
      </x:c>
      <x:c r="O275" s="17" t="b">
        <x:v>1</x:v>
      </x:c>
      <x:c r="P275" s="16" t="b">
        <x:f>IFERROR(VLOOKUP(A275,States!$A$2:$B$18,2,FALSE),FALSE)</x:f>
        <x:v>1</x:v>
      </x:c>
      <x:c r="Q275" s="16" t="b">
        <x:f>AND(OR(O275=TRUE,O275="TRUE"),OR(P275=TRUE,P275="TRUE"))</x:f>
        <x:v>1</x:v>
      </x:c>
    </x:row>
    <x:row r="276">
      <x:c r="A276" s="16" t="str">
        <x:v>Idaho</x:v>
      </x:c>
      <x:c r="B276" s="16" t="str">
        <x:v>Boise</x:v>
      </x:c>
      <x:c r="C276" s="16" t="n">
        <x:v>-116.253</x:v>
      </x:c>
      <x:c r="D276" s="16" t="n">
        <x:v>43.564</x:v>
      </x:c>
      <x:c r="E276" s="16" t="str">
        <x:v>World Center for Birds of Prey</x:v>
      </x:c>
      <x:c r="F276" s="16" t="str">
        <x:v>Birders, families</x:v>
      </x:c>
      <x:c r="G276" s="16" t="str">
        <x:v>Raptor exhibits and conservation programs focus on birds of prey.</x:v>
      </x:c>
      <x:c r="H276" s="16" t="str">
        <x:v>Wildlife</x:v>
      </x:c>
      <x:c r="I276" s="16" t="str">
        <x:v>https://www.google.com/search?q=World%20Center%20for%20Birds%20of%20Prey%20Boise%20Idaho%20official%20website</x:v>
      </x:c>
      <x:c r="J276" s="16" t="str">
        <x:v>https://www.google.com/search?q=site%3Avisitidaho.org%20World%20Center%20for%20Birds%20of%20Prey</x:v>
      </x:c>
      <x:c r="K276" s="16" t="str">
        <x:v>https://www.google.com/search?q=World%20Center%20for%20Birds%20of%20Prey%20Boise%20Idaho%20visitor%20information</x:v>
      </x:c>
      <x:c r="L276" s="16" t="str">
        <x:v>https://www.google.com/search?q=World%20Center%20for%20Birds%20of%20Prey%20Boise%20Idaho%20photos</x:v>
      </x:c>
      <x:c r="M276" s="16" t="str">
        <x:v>https://www.google.com/search?q=World%20Center%20for%20Birds%20of%20Prey%20Boise%20Idaho%20wikipedia%20OR%20wikivoyage</x:v>
      </x:c>
      <x:c r="N276" s="16" t="str">
        <x:v>https://www.google.com/maps/search/?api=1&amp;query=World%20Center%20for%20Birds%20of%20Prey%2C%20Boise%2C%20Idaho</x:v>
      </x:c>
      <x:c r="O276" s="17" t="b">
        <x:v>1</x:v>
      </x:c>
      <x:c r="P276" s="16" t="b">
        <x:f>IFERROR(VLOOKUP(A276,States!$A$2:$B$18,2,FALSE),FALSE)</x:f>
        <x:v>1</x:v>
      </x:c>
      <x:c r="Q276" s="16" t="b">
        <x:f>AND(OR(O276=TRUE,O276="TRUE"),OR(P276=TRUE,P276="TRUE"))</x:f>
        <x:v>1</x:v>
      </x:c>
    </x:row>
    <x:row r="277">
      <x:c r="A277" s="16" t="str">
        <x:v>Idaho</x:v>
      </x:c>
      <x:c r="B277" s="16" t="str">
        <x:v>Lava Hot Springs</x:v>
      </x:c>
      <x:c r="C277" s="16" t="n">
        <x:v>-112.011</x:v>
      </x:c>
      <x:c r="D277" s="16" t="n">
        <x:v>42.62</x:v>
      </x:c>
      <x:c r="E277" s="16" t="str">
        <x:v>Lava Hot Springs</x:v>
      </x:c>
      <x:c r="F277" s="16" t="str">
        <x:v>Families, spa travelers</x:v>
      </x:c>
      <x:c r="G277" s="16" t="str">
        <x:v>Hot pools, river tubing, and small-town ease make a relaxing detour.</x:v>
      </x:c>
      <x:c r="H277" s="16" t="str">
        <x:v>Water Park</x:v>
      </x:c>
      <x:c r="I277" s="16" t="str">
        <x:v>https://www.google.com/search?q=Lava%20Hot%20Springs%20Lava%20Hot%20Springs%20Idaho%20official%20website</x:v>
      </x:c>
      <x:c r="J277" s="16" t="str">
        <x:v>https://www.google.com/search?q=site%3Avisitidaho.org%20Lava%20Hot%20Springs</x:v>
      </x:c>
      <x:c r="K277" s="16" t="str">
        <x:v>https://www.google.com/search?q=Lava%20Hot%20Springs%20Lava%20Hot%20Springs%20Idaho%20visitor%20information</x:v>
      </x:c>
      <x:c r="L277" s="16" t="str">
        <x:v>https://www.google.com/search?q=Lava%20Hot%20Springs%20Lava%20Hot%20Springs%20Idaho%20photos</x:v>
      </x:c>
      <x:c r="M277" s="16" t="str">
        <x:v>https://www.google.com/search?q=Lava%20Hot%20Springs%20Lava%20Hot%20Springs%20Idaho%20wikipedia%20OR%20wikivoyage</x:v>
      </x:c>
      <x:c r="N277" s="16" t="str">
        <x:v>https://www.google.com/maps/search/?api=1&amp;query=Lava%20Hot%20Springs%2C%20Lava%20Hot%20Springs%2C%20Idaho</x:v>
      </x:c>
      <x:c r="O277" s="17" t="b">
        <x:v>1</x:v>
      </x:c>
      <x:c r="P277" s="16" t="b">
        <x:f>IFERROR(VLOOKUP(A277,States!$A$2:$B$18,2,FALSE),FALSE)</x:f>
        <x:v>1</x:v>
      </x:c>
      <x:c r="Q277" s="16" t="b">
        <x:f>AND(OR(O277=TRUE,O277="TRUE"),OR(P277=TRUE,P277="TRUE"))</x:f>
        <x:v>1</x:v>
      </x:c>
    </x:row>
    <x:row r="278">
      <x:c r="A278" s="16" t="str">
        <x:v>Idaho</x:v>
      </x:c>
      <x:c r="B278" s="16" t="str">
        <x:v>Riggins</x:v>
      </x:c>
      <x:c r="C278" s="16" t="n">
        <x:v>-116.315</x:v>
      </x:c>
      <x:c r="D278" s="16" t="n">
        <x:v>45.422</x:v>
      </x:c>
      <x:c r="E278" s="16" t="str">
        <x:v>Salmon River</x:v>
      </x:c>
      <x:c r="F278" s="16" t="str">
        <x:v>Rafters, anglers, adventure travelers</x:v>
      </x:c>
      <x:c r="G278" s="16" t="str">
        <x:v>The River of No Return country is a classic rafting corridor.</x:v>
      </x:c>
      <x:c r="H278" s="16" t="str">
        <x:v>Waterfront</x:v>
      </x:c>
      <x:c r="I278" s="16" t="str">
        <x:v>https://www.google.com/search?q=Salmon%20River%20Riggins%20Idaho%20official%20website</x:v>
      </x:c>
      <x:c r="J278" s="16" t="str">
        <x:v>https://www.google.com/search?q=site%3Avisitidaho.org%20Salmon%20River</x:v>
      </x:c>
      <x:c r="K278" s="16" t="str">
        <x:v>https://www.google.com/search?q=Salmon%20River%20Riggins%20Idaho%20visitor%20information</x:v>
      </x:c>
      <x:c r="L278" s="16" t="str">
        <x:v>https://www.google.com/search?q=Salmon%20River%20Riggins%20Idaho%20photos</x:v>
      </x:c>
      <x:c r="M278" s="16" t="str">
        <x:v>https://www.google.com/search?q=Salmon%20River%20Riggins%20Idaho%20wikipedia%20OR%20wikivoyage</x:v>
      </x:c>
      <x:c r="N278" s="16" t="str">
        <x:v>https://www.google.com/maps/search/?api=1&amp;query=Salmon%20River%2C%20Riggins%2C%20Idaho</x:v>
      </x:c>
      <x:c r="O278" s="17" t="b">
        <x:v>1</x:v>
      </x:c>
      <x:c r="P278" s="16" t="b">
        <x:f>IFERROR(VLOOKUP(A278,States!$A$2:$B$18,2,FALSE),FALSE)</x:f>
        <x:v>1</x:v>
      </x:c>
      <x:c r="Q278" s="16" t="b">
        <x:f>AND(OR(O278=TRUE,O278="TRUE"),OR(P278=TRUE,P278="TRUE"))</x:f>
        <x:v>1</x:v>
      </x:c>
    </x:row>
    <x:row r="279">
      <x:c r="A279" s="16" t="str">
        <x:v>Idaho</x:v>
      </x:c>
      <x:c r="B279" s="16" t="str">
        <x:v>Athol</x:v>
      </x:c>
      <x:c r="C279" s="16" t="n">
        <x:v>-116.58</x:v>
      </x:c>
      <x:c r="D279" s="16" t="n">
        <x:v>47.969</x:v>
      </x:c>
      <x:c r="E279" s="16" t="str">
        <x:v>Farragut State Park</x:v>
      </x:c>
      <x:c r="F279" s="16" t="str">
        <x:v>Campers, families, lake travelers</x:v>
      </x:c>
      <x:c r="G279" s="16" t="str">
        <x:v>Lake Pend Oreille access and trails fill a former naval training site.</x:v>
      </x:c>
      <x:c r="H279" s="16" t="str">
        <x:v>Nature</x:v>
      </x:c>
      <x:c r="I279" s="16" t="str">
        <x:v>https://www.google.com/search?q=Farragut%20State%20Park%20Athol%20Idaho%20official%20website</x:v>
      </x:c>
      <x:c r="J279" s="16" t="str">
        <x:v>https://www.google.com/search?q=site%3Avisitidaho.org%20Farragut%20State%20Park</x:v>
      </x:c>
      <x:c r="K279" s="16" t="str">
        <x:v>https://www.google.com/search?q=Farragut%20State%20Park%20Athol%20Idaho%20visitor%20information</x:v>
      </x:c>
      <x:c r="L279" s="16" t="str">
        <x:v>https://www.google.com/search?q=Farragut%20State%20Park%20Athol%20Idaho%20photos</x:v>
      </x:c>
      <x:c r="M279" s="16" t="str">
        <x:v>https://www.google.com/search?q=Farragut%20State%20Park%20Athol%20Idaho%20wikipedia%20OR%20wikivoyage</x:v>
      </x:c>
      <x:c r="N279" s="16" t="str">
        <x:v>https://www.google.com/maps/search/?api=1&amp;query=Farragut%20State%20Park%2C%20Athol%2C%20Idaho</x:v>
      </x:c>
      <x:c r="O279" s="17" t="b">
        <x:v>1</x:v>
      </x:c>
      <x:c r="P279" s="16" t="b">
        <x:f>IFERROR(VLOOKUP(A279,States!$A$2:$B$18,2,FALSE),FALSE)</x:f>
        <x:v>1</x:v>
      </x:c>
      <x:c r="Q279" s="16" t="b">
        <x:f>AND(OR(O279=TRUE,O279="TRUE"),OR(P279=TRUE,P279="TRUE"))</x:f>
        <x:v>1</x:v>
      </x:c>
    </x:row>
    <x:row r="280">
      <x:c r="A280" s="16" t="str">
        <x:v>Idaho</x:v>
      </x:c>
      <x:c r="B280" s="16" t="str">
        <x:v>Lowman</x:v>
      </x:c>
      <x:c r="C280" s="16" t="n">
        <x:v>-115.596</x:v>
      </x:c>
      <x:c r="D280" s="16" t="n">
        <x:v>44.072</x:v>
      </x:c>
      <x:c r="E280" s="16" t="str">
        <x:v>Kirkham Hot Springs</x:v>
      </x:c>
      <x:c r="F280" s="16" t="str">
        <x:v>Road trippers, nature lovers</x:v>
      </x:c>
      <x:c r="G280" s="16" t="str">
        <x:v>Roadside mineral pools sit beside the South Fork Payette River.</x:v>
      </x:c>
      <x:c r="H280" s="16" t="str">
        <x:v>Nature</x:v>
      </x:c>
      <x:c r="I280" s="16" t="str">
        <x:v>https://www.google.com/search?q=Kirkham%20Hot%20Springs%20Lowman%20Idaho%20official%20website</x:v>
      </x:c>
      <x:c r="J280" s="16" t="str">
        <x:v>https://www.google.com/search?q=site%3Avisitidaho.org%20Kirkham%20Hot%20Springs</x:v>
      </x:c>
      <x:c r="K280" s="16" t="str">
        <x:v>https://www.google.com/search?q=Kirkham%20Hot%20Springs%20Lowman%20Idaho%20visitor%20information</x:v>
      </x:c>
      <x:c r="L280" s="16" t="str">
        <x:v>https://www.google.com/search?q=Kirkham%20Hot%20Springs%20Lowman%20Idaho%20photos</x:v>
      </x:c>
      <x:c r="M280" s="16" t="str">
        <x:v>https://www.google.com/search?q=Kirkham%20Hot%20Springs%20Lowman%20Idaho%20wikipedia%20OR%20wikivoyage</x:v>
      </x:c>
      <x:c r="N280" s="16" t="str">
        <x:v>https://www.google.com/maps/search/?api=1&amp;query=Kirkham%20Hot%20Springs%2C%20Lowman%2C%20Idaho</x:v>
      </x:c>
      <x:c r="O280" s="17" t="b">
        <x:v>1</x:v>
      </x:c>
      <x:c r="P280" s="16" t="b">
        <x:f>IFERROR(VLOOKUP(A280,States!$A$2:$B$18,2,FALSE),FALSE)</x:f>
        <x:v>1</x:v>
      </x:c>
      <x:c r="Q280" s="16" t="b">
        <x:f>AND(OR(O280=TRUE,O280="TRUE"),OR(P280=TRUE,P280="TRUE"))</x:f>
        <x:v>1</x:v>
      </x:c>
    </x:row>
    <x:row r="281">
      <x:c r="A281" s="16" t="str">
        <x:v>Idaho</x:v>
      </x:c>
      <x:c r="B281" s="16" t="str">
        <x:v>Wallace</x:v>
      </x:c>
      <x:c r="C281" s="16" t="n">
        <x:v>-115.927</x:v>
      </x:c>
      <x:c r="D281" s="16" t="n">
        <x:v>47.474</x:v>
      </x:c>
      <x:c r="E281" s="16" t="str">
        <x:v>Wallace Historic District</x:v>
      </x:c>
      <x:c r="F281" s="16" t="str">
        <x:v>History fans, road trippers</x:v>
      </x:c>
      <x:c r="G281" s="16" t="str">
        <x:v>A preserved mining town adds character near the Bitterroot route.</x:v>
      </x:c>
      <x:c r="H281" s="16" t="str">
        <x:v>Historic Site</x:v>
      </x:c>
      <x:c r="I281" s="16" t="str">
        <x:v>https://www.google.com/search?q=Wallace%20Historic%20District%20Wallace%20Idaho%20official%20website</x:v>
      </x:c>
      <x:c r="J281" s="16" t="str">
        <x:v>https://www.google.com/search?q=site%3Avisitidaho.org%20Wallace%20Historic%20District</x:v>
      </x:c>
      <x:c r="K281" s="16" t="str">
        <x:v>https://www.google.com/search?q=Wallace%20Historic%20District%20Wallace%20Idaho%20visitor%20information</x:v>
      </x:c>
      <x:c r="L281" s="16" t="str">
        <x:v>https://www.google.com/search?q=Wallace%20Historic%20District%20Wallace%20Idaho%20photos</x:v>
      </x:c>
      <x:c r="M281" s="16" t="str">
        <x:v>https://www.google.com/search?q=Wallace%20Historic%20District%20Wallace%20Idaho%20wikipedia%20OR%20wikivoyage</x:v>
      </x:c>
      <x:c r="N281" s="16" t="str">
        <x:v>https://www.google.com/maps/search/?api=1&amp;query=Wallace%20Historic%20District%2C%20Wallace%2C%20Idaho</x:v>
      </x:c>
      <x:c r="O281" s="17" t="b">
        <x:v>1</x:v>
      </x:c>
      <x:c r="P281" s="16" t="b">
        <x:f>IFERROR(VLOOKUP(A281,States!$A$2:$B$18,2,FALSE),FALSE)</x:f>
        <x:v>1</x:v>
      </x:c>
      <x:c r="Q281" s="16" t="b">
        <x:f>AND(OR(O281=TRUE,O281="TRUE"),OR(P281=TRUE,P281="TRUE"))</x:f>
        <x:v>1</x:v>
      </x:c>
    </x:row>
    <x:row r="282">
      <x:c r="A282" s="16" t="str">
        <x:v>Washington</x:v>
      </x:c>
      <x:c r="B282" s="16" t="str">
        <x:v>Port Angeles</x:v>
      </x:c>
      <x:c r="C282" s="16" t="n">
        <x:v>-123.604</x:v>
      </x:c>
      <x:c r="D282" s="16" t="n">
        <x:v>47.969</x:v>
      </x:c>
      <x:c r="E282" s="16" t="str">
        <x:v>Olympic National Park</x:v>
      </x:c>
      <x:c r="F282" s="16" t="str">
        <x:v>Hikers, families, photographers</x:v>
      </x:c>
      <x:c r="G282" s="16" t="str">
        <x:v>Rain forest, mountains, and wild coastlines fit one national park.</x:v>
      </x:c>
      <x:c r="H282" s="16" t="str">
        <x:v>National Park</x:v>
      </x:c>
      <x:c r="I282" s="16" t="str">
        <x:v>https://www.google.com/search?q=Olympic%20National%20Park%20Port%20Angeles%20Washington%20official%20website</x:v>
      </x:c>
      <x:c r="J282" s="16" t="str">
        <x:v>https://www.google.com/search?q=site%3Astateofwatourism.com%20Olympic%20National%20Park</x:v>
      </x:c>
      <x:c r="K282" s="16" t="str">
        <x:v>https://www.google.com/search?q=Olympic%20National%20Park%20Port%20Angeles%20Washington%20visitor%20information</x:v>
      </x:c>
      <x:c r="L282" s="16" t="str">
        <x:v>https://www.google.com/search?q=Olympic%20National%20Park%20Port%20Angeles%20Washington%20photos</x:v>
      </x:c>
      <x:c r="M282" s="16" t="str">
        <x:v>https://www.google.com/search?q=site%3Anps.gov%20Olympic%20National%20Park</x:v>
      </x:c>
      <x:c r="N282" s="16" t="str">
        <x:v>https://www.google.com/maps/search/?api=1&amp;query=Olympic%20National%20Park%2C%20Port%20Angeles%2C%20Washington</x:v>
      </x:c>
      <x:c r="O282" s="17" t="b">
        <x:v>1</x:v>
      </x:c>
      <x:c r="P282" s="16" t="b">
        <x:f>IFERROR(VLOOKUP(A282,States!$A$2:$B$18,2,FALSE),FALSE)</x:f>
        <x:v>1</x:v>
      </x:c>
      <x:c r="Q282" s="16" t="b">
        <x:f>AND(OR(O282=TRUE,O282="TRUE"),OR(P282=TRUE,P282="TRUE"))</x:f>
        <x:v>1</x:v>
      </x:c>
    </x:row>
    <x:row r="283">
      <x:c r="A283" s="16" t="str">
        <x:v>Washington</x:v>
      </x:c>
      <x:c r="B283" s="16" t="str">
        <x:v>Ashford</x:v>
      </x:c>
      <x:c r="C283" s="16" t="n">
        <x:v>-121.76</x:v>
      </x:c>
      <x:c r="D283" s="16" t="n">
        <x:v>46.852</x:v>
      </x:c>
      <x:c r="E283" s="16" t="str">
        <x:v>Mount Rainier National Park</x:v>
      </x:c>
      <x:c r="F283" s="16" t="str">
        <x:v>Hikers, photographers, families</x:v>
      </x:c>
      <x:c r="G283" s="16" t="str">
        <x:v>A glaciated volcano dominates meadows, forests, and scenic drives.</x:v>
      </x:c>
      <x:c r="H283" s="16" t="str">
        <x:v>National Park</x:v>
      </x:c>
      <x:c r="I283" s="16" t="str">
        <x:v>https://www.google.com/search?q=Mount%20Rainier%20National%20Park%20Ashford%20Washington%20official%20website</x:v>
      </x:c>
      <x:c r="J283" s="16" t="str">
        <x:v>https://www.google.com/search?q=site%3Astateofwatourism.com%20Mount%20Rainier%20National%20Park</x:v>
      </x:c>
      <x:c r="K283" s="16" t="str">
        <x:v>https://www.google.com/search?q=Mount%20Rainier%20National%20Park%20Ashford%20Washington%20visitor%20information</x:v>
      </x:c>
      <x:c r="L283" s="16" t="str">
        <x:v>https://www.google.com/search?q=Mount%20Rainier%20National%20Park%20Ashford%20Washington%20photos</x:v>
      </x:c>
      <x:c r="M283" s="16" t="str">
        <x:v>https://www.google.com/search?q=site%3Anps.gov%20Mount%20Rainier%20National%20Park</x:v>
      </x:c>
      <x:c r="N283" s="16" t="str">
        <x:v>https://www.google.com/maps/search/?api=1&amp;query=Mount%20Rainier%20National%20Park%2C%20Ashford%2C%20Washington</x:v>
      </x:c>
      <x:c r="O283" s="17" t="b">
        <x:v>1</x:v>
      </x:c>
      <x:c r="P283" s="16" t="b">
        <x:f>IFERROR(VLOOKUP(A283,States!$A$2:$B$18,2,FALSE),FALSE)</x:f>
        <x:v>1</x:v>
      </x:c>
      <x:c r="Q283" s="16" t="b">
        <x:f>AND(OR(O283=TRUE,O283="TRUE"),OR(P283=TRUE,P283="TRUE"))</x:f>
        <x:v>1</x:v>
      </x:c>
    </x:row>
    <x:row r="284">
      <x:c r="A284" s="16" t="str">
        <x:v>Washington</x:v>
      </x:c>
      <x:c r="B284" s="16" t="str">
        <x:v>Marblemount</x:v>
      </x:c>
      <x:c r="C284" s="16" t="n">
        <x:v>-121.298</x:v>
      </x:c>
      <x:c r="D284" s="16" t="n">
        <x:v>48.771</x:v>
      </x:c>
      <x:c r="E284" s="16" t="str">
        <x:v>North Cascades National Park</x:v>
      </x:c>
      <x:c r="F284" s="16" t="str">
        <x:v>Hikers, scenic drivers, photographers</x:v>
      </x:c>
      <x:c r="G284" s="16" t="str">
        <x:v>Steep peaks and turquoise lakes create rugged alpine scenery.</x:v>
      </x:c>
      <x:c r="H284" s="16" t="str">
        <x:v>National Park</x:v>
      </x:c>
      <x:c r="I284" s="16" t="str">
        <x:v>https://www.google.com/search?q=North%20Cascades%20National%20Park%20Marblemount%20Washington%20official%20website</x:v>
      </x:c>
      <x:c r="J284" s="16" t="str">
        <x:v>https://www.google.com/search?q=site%3Astateofwatourism.com%20North%20Cascades%20National%20Park</x:v>
      </x:c>
      <x:c r="K284" s="16" t="str">
        <x:v>https://www.google.com/search?q=North%20Cascades%20National%20Park%20Marblemount%20Washington%20visitor%20information</x:v>
      </x:c>
      <x:c r="L284" s="16" t="str">
        <x:v>https://www.google.com/search?q=North%20Cascades%20National%20Park%20Marblemount%20Washington%20photos</x:v>
      </x:c>
      <x:c r="M284" s="16" t="str">
        <x:v>https://www.google.com/search?q=site%3Anps.gov%20North%20Cascades%20National%20Park</x:v>
      </x:c>
      <x:c r="N284" s="16" t="str">
        <x:v>https://www.google.com/maps/search/?api=1&amp;query=North%20Cascades%20National%20Park%2C%20Marblemount%2C%20Washington</x:v>
      </x:c>
      <x:c r="O284" s="17" t="b">
        <x:v>1</x:v>
      </x:c>
      <x:c r="P284" s="16" t="b">
        <x:f>IFERROR(VLOOKUP(A284,States!$A$2:$B$18,2,FALSE),FALSE)</x:f>
        <x:v>1</x:v>
      </x:c>
      <x:c r="Q284" s="16" t="b">
        <x:f>AND(OR(O284=TRUE,O284="TRUE"),OR(P284=TRUE,P284="TRUE"))</x:f>
        <x:v>1</x:v>
      </x:c>
    </x:row>
    <x:row r="285">
      <x:c r="A285" s="16" t="str">
        <x:v>Washington</x:v>
      </x:c>
      <x:c r="B285" s="16" t="str">
        <x:v>Seattle</x:v>
      </x:c>
      <x:c r="C285" s="16" t="n">
        <x:v>-122.342</x:v>
      </x:c>
      <x:c r="D285" s="16" t="n">
        <x:v>47.609</x:v>
      </x:c>
      <x:c r="E285" s="16" t="str">
        <x:v>Pike Place Market</x:v>
      </x:c>
      <x:c r="F285" s="16" t="str">
        <x:v>Food lovers, first-time visitors</x:v>
      </x:c>
      <x:c r="G285" s="16" t="str">
        <x:v>Historic market stalls, seafood, flowers, and views define Seattle flavor.</x:v>
      </x:c>
      <x:c r="H285" s="16" t="str">
        <x:v>Food/Market</x:v>
      </x:c>
      <x:c r="I285" s="16" t="str">
        <x:v>https://www.google.com/search?q=Pike%20Place%20Market%20Seattle%20Washington%20official%20website</x:v>
      </x:c>
      <x:c r="J285" s="16" t="str">
        <x:v>https://www.google.com/search?q=site%3Astateofwatourism.com%20Pike%20Place%20Market</x:v>
      </x:c>
      <x:c r="K285" s="16" t="str">
        <x:v>https://www.google.com/search?q=Pike%20Place%20Market%20Seattle%20Washington%20visitor%20information</x:v>
      </x:c>
      <x:c r="L285" s="16" t="str">
        <x:v>https://www.google.com/search?q=Pike%20Place%20Market%20Seattle%20Washington%20photos</x:v>
      </x:c>
      <x:c r="M285" s="16" t="str">
        <x:v>https://www.google.com/search?q=Pike%20Place%20Market%20Seattle%20Washington%20wikipedia%20OR%20wikivoyage</x:v>
      </x:c>
      <x:c r="N285" s="16" t="str">
        <x:v>https://www.google.com/maps/search/?api=1&amp;query=Pike%20Place%20Market%2C%20Seattle%2C%20Washington</x:v>
      </x:c>
      <x:c r="O285" s="17" t="b">
        <x:v>1</x:v>
      </x:c>
      <x:c r="P285" s="16" t="b">
        <x:f>IFERROR(VLOOKUP(A285,States!$A$2:$B$18,2,FALSE),FALSE)</x:f>
        <x:v>1</x:v>
      </x:c>
      <x:c r="Q285" s="16" t="b">
        <x:f>AND(OR(O285=TRUE,O285="TRUE"),OR(P285=TRUE,P285="TRUE"))</x:f>
        <x:v>1</x:v>
      </x:c>
    </x:row>
    <x:row r="286">
      <x:c r="A286" s="16" t="str">
        <x:v>Washington</x:v>
      </x:c>
      <x:c r="B286" s="16" t="str">
        <x:v>Seattle</x:v>
      </x:c>
      <x:c r="C286" s="16" t="n">
        <x:v>-122.349</x:v>
      </x:c>
      <x:c r="D286" s="16" t="n">
        <x:v>47.62</x:v>
      </x:c>
      <x:c r="E286" s="16" t="str">
        <x:v>Space Needle</x:v>
      </x:c>
      <x:c r="F286" s="16" t="str">
        <x:v>First-time visitors, photographers</x:v>
      </x:c>
      <x:c r="G286" s="16" t="str">
        <x:v>Observation decks frame Seattle, Puget Sound, and mountain views.</x:v>
      </x:c>
      <x:c r="H286" s="16" t="str">
        <x:v>Observation</x:v>
      </x:c>
      <x:c r="I286" s="16" t="str">
        <x:v>https://www.google.com/search?q=Space%20Needle%20Seattle%20Washington%20official%20website</x:v>
      </x:c>
      <x:c r="J286" s="16" t="str">
        <x:v>https://www.google.com/search?q=site%3Astateofwatourism.com%20Space%20Needle</x:v>
      </x:c>
      <x:c r="K286" s="16" t="str">
        <x:v>https://www.google.com/search?q=Space%20Needle%20Seattle%20Washington%20visitor%20information</x:v>
      </x:c>
      <x:c r="L286" s="16" t="str">
        <x:v>https://www.google.com/search?q=Space%20Needle%20Seattle%20Washington%20photos</x:v>
      </x:c>
      <x:c r="M286" s="16" t="str">
        <x:v>https://www.google.com/search?q=Space%20Needle%20Seattle%20Washington%20wikipedia%20OR%20wikivoyage</x:v>
      </x:c>
      <x:c r="N286" s="16" t="str">
        <x:v>https://www.google.com/maps/search/?api=1&amp;query=Space%20Needle%2C%20Seattle%2C%20Washington</x:v>
      </x:c>
      <x:c r="O286" s="17" t="b">
        <x:v>1</x:v>
      </x:c>
      <x:c r="P286" s="16" t="b">
        <x:f>IFERROR(VLOOKUP(A286,States!$A$2:$B$18,2,FALSE),FALSE)</x:f>
        <x:v>1</x:v>
      </x:c>
      <x:c r="Q286" s="16" t="b">
        <x:f>AND(OR(O286=TRUE,O286="TRUE"),OR(P286=TRUE,P286="TRUE"))</x:f>
        <x:v>1</x:v>
      </x:c>
    </x:row>
    <x:row r="287">
      <x:c r="A287" s="16" t="str">
        <x:v>Washington</x:v>
      </x:c>
      <x:c r="B287" s="16" t="str">
        <x:v>Seattle</x:v>
      </x:c>
      <x:c r="C287" s="16" t="n">
        <x:v>-122.348</x:v>
      </x:c>
      <x:c r="D287" s="16" t="n">
        <x:v>47.621</x:v>
      </x:c>
      <x:c r="E287" s="16" t="str">
        <x:v>Museum of Pop Culture</x:v>
      </x:c>
      <x:c r="F287" s="16" t="str">
        <x:v>Music fans, film fans, families</x:v>
      </x:c>
      <x:c r="G287" s="16" t="str">
        <x:v>Immersive exhibits cover music, sci-fi, games, and pop culture.</x:v>
      </x:c>
      <x:c r="H287" s="16" t="str">
        <x:v>Museum</x:v>
      </x:c>
      <x:c r="I287" s="16" t="str">
        <x:v>https://www.google.com/search?q=Museum%20of%20Pop%20Culture%20Seattle%20Washington%20official%20website</x:v>
      </x:c>
      <x:c r="J287" s="16" t="str">
        <x:v>https://www.google.com/search?q=site%3Astateofwatourism.com%20Museum%20of%20Pop%20Culture</x:v>
      </x:c>
      <x:c r="K287" s="16" t="str">
        <x:v>https://www.google.com/search?q=Museum%20of%20Pop%20Culture%20Seattle%20Washington%20visitor%20information</x:v>
      </x:c>
      <x:c r="L287" s="16" t="str">
        <x:v>https://www.google.com/search?q=Museum%20of%20Pop%20Culture%20Seattle%20Washington%20photos</x:v>
      </x:c>
      <x:c r="M287" s="16" t="str">
        <x:v>https://www.google.com/search?q=Museum%20of%20Pop%20Culture%20Seattle%20Washington%20wikipedia%20OR%20wikivoyage</x:v>
      </x:c>
      <x:c r="N287" s="16" t="str">
        <x:v>https://www.google.com/maps/search/?api=1&amp;query=Museum%20of%20Pop%20Culture%2C%20Seattle%2C%20Washington</x:v>
      </x:c>
      <x:c r="O287" s="17" t="b">
        <x:v>1</x:v>
      </x:c>
      <x:c r="P287" s="16" t="b">
        <x:f>IFERROR(VLOOKUP(A287,States!$A$2:$B$18,2,FALSE),FALSE)</x:f>
        <x:v>1</x:v>
      </x:c>
      <x:c r="Q287" s="16" t="b">
        <x:f>AND(OR(O287=TRUE,O287="TRUE"),OR(P287=TRUE,P287="TRUE"))</x:f>
        <x:v>1</x:v>
      </x:c>
    </x:row>
    <x:row r="288">
      <x:c r="A288" s="16" t="str">
        <x:v>Washington</x:v>
      </x:c>
      <x:c r="B288" s="16" t="str">
        <x:v>Seattle</x:v>
      </x:c>
      <x:c r="C288" s="16" t="n">
        <x:v>-122.35</x:v>
      </x:c>
      <x:c r="D288" s="16" t="n">
        <x:v>47.62</x:v>
      </x:c>
      <x:c r="E288" s="16" t="str">
        <x:v>Chihuly Garden and Glass</x:v>
      </x:c>
      <x:c r="F288" s="16" t="str">
        <x:v>Art lovers, photographers</x:v>
      </x:c>
      <x:c r="G288" s="16" t="str">
        <x:v>Colorful glass installations glow against gardens and city architecture.</x:v>
      </x:c>
      <x:c r="H288" s="16" t="str">
        <x:v>Arts/Culture</x:v>
      </x:c>
      <x:c r="I288" s="16" t="str">
        <x:v>https://www.google.com/search?q=Chihuly%20Garden%20and%20Glass%20Seattle%20Washington%20official%20website</x:v>
      </x:c>
      <x:c r="J288" s="16" t="str">
        <x:v>https://www.google.com/search?q=site%3Astateofwatourism.com%20Chihuly%20Garden%20and%20Glass</x:v>
      </x:c>
      <x:c r="K288" s="16" t="str">
        <x:v>https://www.google.com/search?q=Chihuly%20Garden%20and%20Glass%20Seattle%20Washington%20visitor%20information</x:v>
      </x:c>
      <x:c r="L288" s="16" t="str">
        <x:v>https://www.google.com/search?q=Chihuly%20Garden%20and%20Glass%20Seattle%20Washington%20photos</x:v>
      </x:c>
      <x:c r="M288" s="16" t="str">
        <x:v>https://www.google.com/search?q=Chihuly%20Garden%20and%20Glass%20Seattle%20Washington%20wikipedia%20OR%20wikivoyage</x:v>
      </x:c>
      <x:c r="N288" s="16" t="str">
        <x:v>https://www.google.com/maps/search/?api=1&amp;query=Chihuly%20Garden%20and%20Glass%2C%20Seattle%2C%20Washington</x:v>
      </x:c>
      <x:c r="O288" s="17" t="b">
        <x:v>1</x:v>
      </x:c>
      <x:c r="P288" s="16" t="b">
        <x:f>IFERROR(VLOOKUP(A288,States!$A$2:$B$18,2,FALSE),FALSE)</x:f>
        <x:v>1</x:v>
      </x:c>
      <x:c r="Q288" s="16" t="b">
        <x:f>AND(OR(O288=TRUE,O288="TRUE"),OR(P288=TRUE,P288="TRUE"))</x:f>
        <x:v>1</x:v>
      </x:c>
    </x:row>
    <x:row r="289">
      <x:c r="A289" s="16" t="str">
        <x:v>Washington</x:v>
      </x:c>
      <x:c r="B289" s="16" t="str">
        <x:v>Friday Harbor</x:v>
      </x:c>
      <x:c r="C289" s="16" t="n">
        <x:v>-123.02</x:v>
      </x:c>
      <x:c r="D289" s="16" t="n">
        <x:v>48.535</x:v>
      </x:c>
      <x:c r="E289" s="16" t="str">
        <x:v>San Juan Islands</x:v>
      </x:c>
      <x:c r="F289" s="16" t="str">
        <x:v>Whale watchers, cyclists, couples</x:v>
      </x:c>
      <x:c r="G289" s="16" t="str">
        <x:v>Ferries link islands known for wildlife, sea kayaking, and quiet towns.</x:v>
      </x:c>
      <x:c r="H289" s="16" t="str">
        <x:v>Island</x:v>
      </x:c>
      <x:c r="I289" s="16" t="str">
        <x:v>https://www.google.com/search?q=San%20Juan%20Islands%20Friday%20Harbor%20Washington%20official%20website</x:v>
      </x:c>
      <x:c r="J289" s="16" t="str">
        <x:v>https://www.google.com/search?q=site%3Astateofwatourism.com%20San%20Juan%20Islands</x:v>
      </x:c>
      <x:c r="K289" s="16" t="str">
        <x:v>https://www.google.com/search?q=San%20Juan%20Islands%20Friday%20Harbor%20Washington%20visitor%20information</x:v>
      </x:c>
      <x:c r="L289" s="16" t="str">
        <x:v>https://www.google.com/search?q=San%20Juan%20Islands%20Friday%20Harbor%20Washington%20photos</x:v>
      </x:c>
      <x:c r="M289" s="16" t="str">
        <x:v>https://www.google.com/search?q=San%20Juan%20Islands%20Friday%20Harbor%20Washington%20wikipedia%20OR%20wikivoyage</x:v>
      </x:c>
      <x:c r="N289" s="16" t="str">
        <x:v>https://www.google.com/maps/search/?api=1&amp;query=San%20Juan%20Islands%2C%20Friday%20Harbor%2C%20Washington</x:v>
      </x:c>
      <x:c r="O289" s="17" t="b">
        <x:v>1</x:v>
      </x:c>
      <x:c r="P289" s="16" t="b">
        <x:f>IFERROR(VLOOKUP(A289,States!$A$2:$B$18,2,FALSE),FALSE)</x:f>
        <x:v>1</x:v>
      </x:c>
      <x:c r="Q289" s="16" t="b">
        <x:f>AND(OR(O289=TRUE,O289="TRUE"),OR(P289=TRUE,P289="TRUE"))</x:f>
        <x:v>1</x:v>
      </x:c>
    </x:row>
    <x:row r="290">
      <x:c r="A290" s="16" t="str">
        <x:v>Washington</x:v>
      </x:c>
      <x:c r="B290" s="16" t="str">
        <x:v>Leavenworth</x:v>
      </x:c>
      <x:c r="C290" s="16" t="n">
        <x:v>-120.661</x:v>
      </x:c>
      <x:c r="D290" s="16" t="n">
        <x:v>47.596</x:v>
      </x:c>
      <x:c r="E290" s="16" t="str">
        <x:v>Leavenworth</x:v>
      </x:c>
      <x:c r="F290" s="16" t="str">
        <x:v>Families, couples, scenic drivers</x:v>
      </x:c>
      <x:c r="G290" s="16" t="str">
        <x:v>A Bavarian-style mountain town pairs festivals with Cascade scenery.</x:v>
      </x:c>
      <x:c r="H290" s="16" t="str">
        <x:v>Scenic Town</x:v>
      </x:c>
      <x:c r="I290" s="16" t="str">
        <x:v>https://www.google.com/search?q=Leavenworth%20Leavenworth%20Washington%20official%20website</x:v>
      </x:c>
      <x:c r="J290" s="16" t="str">
        <x:v>https://www.google.com/search?q=site%3Astateofwatourism.com%20Leavenworth</x:v>
      </x:c>
      <x:c r="K290" s="16" t="str">
        <x:v>https://www.google.com/search?q=Leavenworth%20Leavenworth%20Washington%20visitor%20information</x:v>
      </x:c>
      <x:c r="L290" s="16" t="str">
        <x:v>https://www.google.com/search?q=Leavenworth%20Leavenworth%20Washington%20photos</x:v>
      </x:c>
      <x:c r="M290" s="16" t="str">
        <x:v>https://www.google.com/search?q=Leavenworth%20Leavenworth%20Washington%20wikipedia%20OR%20wikivoyage</x:v>
      </x:c>
      <x:c r="N290" s="16" t="str">
        <x:v>https://www.google.com/maps/search/?api=1&amp;query=Leavenworth%2C%20Leavenworth%2C%20Washington</x:v>
      </x:c>
      <x:c r="O290" s="17" t="b">
        <x:v>1</x:v>
      </x:c>
      <x:c r="P290" s="16" t="b">
        <x:f>IFERROR(VLOOKUP(A290,States!$A$2:$B$18,2,FALSE),FALSE)</x:f>
        <x:v>1</x:v>
      </x:c>
      <x:c r="Q290" s="16" t="b">
        <x:f>AND(OR(O290=TRUE,O290="TRUE"),OR(P290=TRUE,P290="TRUE"))</x:f>
        <x:v>1</x:v>
      </x:c>
    </x:row>
    <x:row r="291">
      <x:c r="A291" s="16" t="str">
        <x:v>Washington</x:v>
      </x:c>
      <x:c r="B291" s="16" t="str">
        <x:v>Toutle</x:v>
      </x:c>
      <x:c r="C291" s="16" t="n">
        <x:v>-122.188</x:v>
      </x:c>
      <x:c r="D291" s="16" t="n">
        <x:v>46.276</x:v>
      </x:c>
      <x:c r="E291" s="16" t="str">
        <x:v>Mount St. Helens National Volcanic Monument</x:v>
      </x:c>
      <x:c r="F291" s="16" t="str">
        <x:v>Science fans, hikers, families</x:v>
      </x:c>
      <x:c r="G291" s="16" t="str">
        <x:v>Volcanic blast landscapes make geology visible on a large scale.</x:v>
      </x:c>
      <x:c r="H291" s="16" t="str">
        <x:v>National Monument</x:v>
      </x:c>
      <x:c r="I291" s="16" t="str">
        <x:v>https://www.google.com/search?q=Mount%20St.%20Helens%20National%20Volcanic%20Monument%20Toutle%20Washington%20official%20website</x:v>
      </x:c>
      <x:c r="J291" s="16" t="str">
        <x:v>https://www.google.com/search?q=site%3Astateofwatourism.com%20Mount%20St.%20Helens%20National%20Volcanic%20Monument</x:v>
      </x:c>
      <x:c r="K291" s="16" t="str">
        <x:v>https://www.google.com/search?q=Mount%20St.%20Helens%20National%20Volcanic%20Monument%20Toutle%20Washington%20visitor%20information</x:v>
      </x:c>
      <x:c r="L291" s="16" t="str">
        <x:v>https://www.google.com/search?q=Mount%20St.%20Helens%20National%20Volcanic%20Monument%20Toutle%20Washington%20photos</x:v>
      </x:c>
      <x:c r="M291" s="16" t="str">
        <x:v>https://www.google.com/search?q=site%3Anps.gov%20Mount%20St.%20Helens%20National%20Volcanic%20Monument</x:v>
      </x:c>
      <x:c r="N291" s="16" t="str">
        <x:v>https://www.google.com/maps/search/?api=1&amp;query=Mount%20St.%20Helens%20National%20Volcanic%20Monument%2C%20Toutle%2C%20Washington</x:v>
      </x:c>
      <x:c r="O291" s="17" t="b">
        <x:v>1</x:v>
      </x:c>
      <x:c r="P291" s="16" t="b">
        <x:f>IFERROR(VLOOKUP(A291,States!$A$2:$B$18,2,FALSE),FALSE)</x:f>
        <x:v>1</x:v>
      </x:c>
      <x:c r="Q291" s="16" t="b">
        <x:f>AND(OR(O291=TRUE,O291="TRUE"),OR(P291=TRUE,P291="TRUE"))</x:f>
        <x:v>1</x:v>
      </x:c>
    </x:row>
    <x:row r="292">
      <x:c r="A292" s="16" t="str">
        <x:v>Washington</x:v>
      </x:c>
      <x:c r="B292" s="16" t="str">
        <x:v>Stevenson</x:v>
      </x:c>
      <x:c r="C292" s="16" t="n">
        <x:v>-121.927</x:v>
      </x:c>
      <x:c r="D292" s="16" t="n">
        <x:v>45.694</x:v>
      </x:c>
      <x:c r="E292" s="16" t="str">
        <x:v>Columbia River Gorge</x:v>
      </x:c>
      <x:c r="F292" s="16" t="str">
        <x:v>Scenic drivers, hikers, photographers</x:v>
      </x:c>
      <x:c r="G292" s="16" t="str">
        <x:v>River cliffs, wind sports, and viewpoints line the Washington-Oregon border.</x:v>
      </x:c>
      <x:c r="H292" s="16" t="str">
        <x:v>Scenic Region</x:v>
      </x:c>
      <x:c r="I292" s="16" t="str">
        <x:v>https://www.google.com/search?q=Columbia%20River%20Gorge%20Stevenson%20Washington%20official%20website</x:v>
      </x:c>
      <x:c r="J292" s="16" t="str">
        <x:v>https://www.google.com/search?q=site%3Astateofwatourism.com%20Columbia%20River%20Gorge</x:v>
      </x:c>
      <x:c r="K292" s="16" t="str">
        <x:v>https://www.google.com/search?q=Columbia%20River%20Gorge%20Stevenson%20Washington%20visitor%20information</x:v>
      </x:c>
      <x:c r="L292" s="16" t="str">
        <x:v>https://www.google.com/search?q=Columbia%20River%20Gorge%20Stevenson%20Washington%20photos</x:v>
      </x:c>
      <x:c r="M292" s="16" t="str">
        <x:v>https://www.google.com/search?q=Columbia%20River%20Gorge%20Stevenson%20Washington%20wikipedia%20OR%20wikivoyage</x:v>
      </x:c>
      <x:c r="N292" s="16" t="str">
        <x:v>https://www.google.com/maps/search/?api=1&amp;query=Columbia%20River%20Gorge%2C%20Stevenson%2C%20Washington</x:v>
      </x:c>
      <x:c r="O292" s="17" t="b">
        <x:v>1</x:v>
      </x:c>
      <x:c r="P292" s="16" t="b">
        <x:f>IFERROR(VLOOKUP(A292,States!$A$2:$B$18,2,FALSE),FALSE)</x:f>
        <x:v>1</x:v>
      </x:c>
      <x:c r="Q292" s="16" t="b">
        <x:f>AND(OR(O292=TRUE,O292="TRUE"),OR(P292=TRUE,P292="TRUE"))</x:f>
        <x:v>1</x:v>
      </x:c>
    </x:row>
    <x:row r="293">
      <x:c r="A293" s="16" t="str">
        <x:v>Washington</x:v>
      </x:c>
      <x:c r="B293" s="16" t="str">
        <x:v>Snoqualmie</x:v>
      </x:c>
      <x:c r="C293" s="16" t="n">
        <x:v>-121.837</x:v>
      </x:c>
      <x:c r="D293" s="16" t="n">
        <x:v>47.541</x:v>
      </x:c>
      <x:c r="E293" s="16" t="str">
        <x:v>Snoqualmie Falls</x:v>
      </x:c>
      <x:c r="F293" s="16" t="str">
        <x:v>Families, photographers</x:v>
      </x:c>
      <x:c r="G293" s="16" t="str">
        <x:v>A high waterfall and easy viewpoints make a quick Seattle-area escape.</x:v>
      </x:c>
      <x:c r="H293" s="16" t="str">
        <x:v>Nature</x:v>
      </x:c>
      <x:c r="I293" s="16" t="str">
        <x:v>https://www.google.com/search?q=Snoqualmie%20Falls%20Snoqualmie%20Washington%20official%20website</x:v>
      </x:c>
      <x:c r="J293" s="16" t="str">
        <x:v>https://www.google.com/search?q=site%3Astateofwatourism.com%20Snoqualmie%20Falls</x:v>
      </x:c>
      <x:c r="K293" s="16" t="str">
        <x:v>https://www.google.com/search?q=Snoqualmie%20Falls%20Snoqualmie%20Washington%20visitor%20information</x:v>
      </x:c>
      <x:c r="L293" s="16" t="str">
        <x:v>https://www.google.com/search?q=Snoqualmie%20Falls%20Snoqualmie%20Washington%20photos</x:v>
      </x:c>
      <x:c r="M293" s="16" t="str">
        <x:v>https://www.google.com/search?q=Snoqualmie%20Falls%20Snoqualmie%20Washington%20wikipedia%20OR%20wikivoyage</x:v>
      </x:c>
      <x:c r="N293" s="16" t="str">
        <x:v>https://www.google.com/maps/search/?api=1&amp;query=Snoqualmie%20Falls%2C%20Snoqualmie%2C%20Washington</x:v>
      </x:c>
      <x:c r="O293" s="17" t="b">
        <x:v>1</x:v>
      </x:c>
      <x:c r="P293" s="16" t="b">
        <x:f>IFERROR(VLOOKUP(A293,States!$A$2:$B$18,2,FALSE),FALSE)</x:f>
        <x:v>1</x:v>
      </x:c>
      <x:c r="Q293" s="16" t="b">
        <x:f>AND(OR(O293=TRUE,O293="TRUE"),OR(P293=TRUE,P293="TRUE"))</x:f>
        <x:v>1</x:v>
      </x:c>
    </x:row>
    <x:row r="294">
      <x:c r="A294" s="16" t="str">
        <x:v>Washington</x:v>
      </x:c>
      <x:c r="B294" s="16" t="str">
        <x:v>Washtucna</x:v>
      </x:c>
      <x:c r="C294" s="16" t="n">
        <x:v>-118.223</x:v>
      </x:c>
      <x:c r="D294" s="16" t="n">
        <x:v>46.663</x:v>
      </x:c>
      <x:c r="E294" s="16" t="str">
        <x:v>Palouse Falls State Park</x:v>
      </x:c>
      <x:c r="F294" s="16" t="str">
        <x:v>Photographers, scenic drivers</x:v>
      </x:c>
      <x:c r="G294" s="16" t="str">
        <x:v>A dramatic waterfall drops into a basalt canyon in eastern Washington.</x:v>
      </x:c>
      <x:c r="H294" s="16" t="str">
        <x:v>Nature</x:v>
      </x:c>
      <x:c r="I294" s="16" t="str">
        <x:v>https://www.google.com/search?q=Palouse%20Falls%20State%20Park%20Washtucna%20Washington%20official%20website</x:v>
      </x:c>
      <x:c r="J294" s="16" t="str">
        <x:v>https://www.google.com/search?q=site%3Astateofwatourism.com%20Palouse%20Falls%20State%20Park</x:v>
      </x:c>
      <x:c r="K294" s="16" t="str">
        <x:v>https://www.google.com/search?q=Palouse%20Falls%20State%20Park%20Washtucna%20Washington%20visitor%20information</x:v>
      </x:c>
      <x:c r="L294" s="16" t="str">
        <x:v>https://www.google.com/search?q=Palouse%20Falls%20State%20Park%20Washtucna%20Washington%20photos</x:v>
      </x:c>
      <x:c r="M294" s="16" t="str">
        <x:v>https://www.google.com/search?q=Palouse%20Falls%20State%20Park%20Washtucna%20Washington%20wikipedia%20OR%20wikivoyage</x:v>
      </x:c>
      <x:c r="N294" s="16" t="str">
        <x:v>https://www.google.com/maps/search/?api=1&amp;query=Palouse%20Falls%20State%20Park%2C%20Washtucna%2C%20Washington</x:v>
      </x:c>
      <x:c r="O294" s="17" t="b">
        <x:v>1</x:v>
      </x:c>
      <x:c r="P294" s="16" t="b">
        <x:f>IFERROR(VLOOKUP(A294,States!$A$2:$B$18,2,FALSE),FALSE)</x:f>
        <x:v>1</x:v>
      </x:c>
      <x:c r="Q294" s="16" t="b">
        <x:f>AND(OR(O294=TRUE,O294="TRUE"),OR(P294=TRUE,P294="TRUE"))</x:f>
        <x:v>1</x:v>
      </x:c>
    </x:row>
    <x:row r="295">
      <x:c r="A295" s="16" t="str">
        <x:v>Washington</x:v>
      </x:c>
      <x:c r="B295" s="16" t="str">
        <x:v>Forks</x:v>
      </x:c>
      <x:c r="C295" s="16" t="n">
        <x:v>-123.933</x:v>
      </x:c>
      <x:c r="D295" s="16" t="n">
        <x:v>47.86</x:v>
      </x:c>
      <x:c r="E295" s="16" t="str">
        <x:v>Hoh Rain Forest</x:v>
      </x:c>
      <x:c r="F295" s="16" t="str">
        <x:v>Hikers, photographers, families</x:v>
      </x:c>
      <x:c r="G295" s="16" t="str">
        <x:v>Mossy old-growth forest shows Olympic's wet coastal ecosystem.</x:v>
      </x:c>
      <x:c r="H295" s="16" t="str">
        <x:v>Nature</x:v>
      </x:c>
      <x:c r="I295" s="16" t="str">
        <x:v>https://www.google.com/search?q=Hoh%20Rain%20Forest%20Forks%20Washington%20official%20website</x:v>
      </x:c>
      <x:c r="J295" s="16" t="str">
        <x:v>https://www.google.com/search?q=site%3Astateofwatourism.com%20Hoh%20Rain%20Forest</x:v>
      </x:c>
      <x:c r="K295" s="16" t="str">
        <x:v>https://www.google.com/search?q=Hoh%20Rain%20Forest%20Forks%20Washington%20visitor%20information</x:v>
      </x:c>
      <x:c r="L295" s="16" t="str">
        <x:v>https://www.google.com/search?q=Hoh%20Rain%20Forest%20Forks%20Washington%20photos</x:v>
      </x:c>
      <x:c r="M295" s="16" t="str">
        <x:v>https://www.google.com/search?q=Hoh%20Rain%20Forest%20Forks%20Washington%20wikipedia%20OR%20wikivoyage</x:v>
      </x:c>
      <x:c r="N295" s="16" t="str">
        <x:v>https://www.google.com/maps/search/?api=1&amp;query=Hoh%20Rain%20Forest%2C%20Forks%2C%20Washington</x:v>
      </x:c>
      <x:c r="O295" s="17" t="b">
        <x:v>1</x:v>
      </x:c>
      <x:c r="P295" s="16" t="b">
        <x:f>IFERROR(VLOOKUP(A295,States!$A$2:$B$18,2,FALSE),FALSE)</x:f>
        <x:v>1</x:v>
      </x:c>
      <x:c r="Q295" s="16" t="b">
        <x:f>AND(OR(O295=TRUE,O295="TRUE"),OR(P295=TRUE,P295="TRUE"))</x:f>
        <x:v>1</x:v>
      </x:c>
    </x:row>
    <x:row r="296">
      <x:c r="A296" s="16" t="str">
        <x:v>Washington</x:v>
      </x:c>
      <x:c r="B296" s="16" t="str">
        <x:v>Chelan</x:v>
      </x:c>
      <x:c r="C296" s="16" t="n">
        <x:v>-120.029</x:v>
      </x:c>
      <x:c r="D296" s="16" t="n">
        <x:v>47.84</x:v>
      </x:c>
      <x:c r="E296" s="16" t="str">
        <x:v>Lake Chelan</x:v>
      </x:c>
      <x:c r="F296" s="16" t="str">
        <x:v>Families, boaters, wine travelers</x:v>
      </x:c>
      <x:c r="G296" s="16" t="str">
        <x:v>A long clear lake supports boating, beaches, and nearby wineries.</x:v>
      </x:c>
      <x:c r="H296" s="16" t="str">
        <x:v>Waterfront</x:v>
      </x:c>
      <x:c r="I296" s="16" t="str">
        <x:v>https://www.google.com/search?q=Lake%20Chelan%20Chelan%20Washington%20official%20website</x:v>
      </x:c>
      <x:c r="J296" s="16" t="str">
        <x:v>https://www.google.com/search?q=site%3Astateofwatourism.com%20Lake%20Chelan</x:v>
      </x:c>
      <x:c r="K296" s="16" t="str">
        <x:v>https://www.google.com/search?q=Lake%20Chelan%20Chelan%20Washington%20visitor%20information</x:v>
      </x:c>
      <x:c r="L296" s="16" t="str">
        <x:v>https://www.google.com/search?q=Lake%20Chelan%20Chelan%20Washington%20photos</x:v>
      </x:c>
      <x:c r="M296" s="16" t="str">
        <x:v>https://www.google.com/search?q=Lake%20Chelan%20Chelan%20Washington%20wikipedia%20OR%20wikivoyage</x:v>
      </x:c>
      <x:c r="N296" s="16" t="str">
        <x:v>https://www.google.com/maps/search/?api=1&amp;query=Lake%20Chelan%2C%20Chelan%2C%20Washington</x:v>
      </x:c>
      <x:c r="O296" s="17" t="b">
        <x:v>1</x:v>
      </x:c>
      <x:c r="P296" s="16" t="b">
        <x:f>IFERROR(VLOOKUP(A296,States!$A$2:$B$18,2,FALSE),FALSE)</x:f>
        <x:v>1</x:v>
      </x:c>
      <x:c r="Q296" s="16" t="b">
        <x:f>AND(OR(O296=TRUE,O296="TRUE"),OR(P296=TRUE,P296="TRUE"))</x:f>
        <x:v>1</x:v>
      </x:c>
    </x:row>
    <x:row r="297">
      <x:c r="A297" s="16" t="str">
        <x:v>Washington</x:v>
      </x:c>
      <x:c r="B297" s="16" t="str">
        <x:v>Mukilteo</x:v>
      </x:c>
      <x:c r="C297" s="16" t="n">
        <x:v>-122.303</x:v>
      </x:c>
      <x:c r="D297" s="16" t="n">
        <x:v>47.923</x:v>
      </x:c>
      <x:c r="E297" s="16" t="str">
        <x:v>Boeing Future of Flight</x:v>
      </x:c>
      <x:c r="F297" s="16" t="str">
        <x:v>Aviation fans, families</x:v>
      </x:c>
      <x:c r="G297" s="16" t="str">
        <x:v>Factory-focused exhibits explain large-aircraft manufacturing.</x:v>
      </x:c>
      <x:c r="H297" s="16" t="str">
        <x:v>Museum</x:v>
      </x:c>
      <x:c r="I297" s="16" t="str">
        <x:v>https://www.google.com/search?q=Boeing%20Future%20of%20Flight%20Mukilteo%20Washington%20official%20website</x:v>
      </x:c>
      <x:c r="J297" s="16" t="str">
        <x:v>https://www.google.com/search?q=site%3Astateofwatourism.com%20Boeing%20Future%20of%20Flight</x:v>
      </x:c>
      <x:c r="K297" s="16" t="str">
        <x:v>https://www.google.com/search?q=Boeing%20Future%20of%20Flight%20Mukilteo%20Washington%20visitor%20information</x:v>
      </x:c>
      <x:c r="L297" s="16" t="str">
        <x:v>https://www.google.com/search?q=Boeing%20Future%20of%20Flight%20Mukilteo%20Washington%20photos</x:v>
      </x:c>
      <x:c r="M297" s="16" t="str">
        <x:v>https://www.google.com/search?q=Boeing%20Future%20of%20Flight%20Mukilteo%20Washington%20wikipedia%20OR%20wikivoyage</x:v>
      </x:c>
      <x:c r="N297" s="16" t="str">
        <x:v>https://www.google.com/maps/search/?api=1&amp;query=Boeing%20Future%20of%20Flight%2C%20Mukilteo%2C%20Washington</x:v>
      </x:c>
      <x:c r="O297" s="17" t="b">
        <x:v>1</x:v>
      </x:c>
      <x:c r="P297" s="16" t="b">
        <x:f>IFERROR(VLOOKUP(A297,States!$A$2:$B$18,2,FALSE),FALSE)</x:f>
        <x:v>1</x:v>
      </x:c>
      <x:c r="Q297" s="16" t="b">
        <x:f>AND(OR(O297=TRUE,O297="TRUE"),OR(P297=TRUE,P297="TRUE"))</x:f>
        <x:v>1</x:v>
      </x:c>
    </x:row>
    <x:row r="298">
      <x:c r="A298" s="16" t="str">
        <x:v>Washington</x:v>
      </x:c>
      <x:c r="B298" s="16" t="str">
        <x:v>Seattle</x:v>
      </x:c>
      <x:c r="C298" s="16" t="n">
        <x:v>-122.338</x:v>
      </x:c>
      <x:c r="D298" s="16" t="n">
        <x:v>47.607</x:v>
      </x:c>
      <x:c r="E298" s="16" t="str">
        <x:v>Seattle Art Museum</x:v>
      </x:c>
      <x:c r="F298" s="16" t="str">
        <x:v>Art lovers, city explorers</x:v>
      </x:c>
      <x:c r="G298" s="16" t="str">
        <x:v>Global collections sit steps from downtown hotels and Pike Place.</x:v>
      </x:c>
      <x:c r="H298" s="16" t="str">
        <x:v>Museum</x:v>
      </x:c>
      <x:c r="I298" s="16" t="str">
        <x:v>https://www.google.com/search?q=Seattle%20Art%20Museum%20Seattle%20Washington%20official%20website</x:v>
      </x:c>
      <x:c r="J298" s="16" t="str">
        <x:v>https://www.google.com/search?q=site%3Astateofwatourism.com%20Seattle%20Art%20Museum</x:v>
      </x:c>
      <x:c r="K298" s="16" t="str">
        <x:v>https://www.google.com/search?q=Seattle%20Art%20Museum%20Seattle%20Washington%20visitor%20information</x:v>
      </x:c>
      <x:c r="L298" s="16" t="str">
        <x:v>https://www.google.com/search?q=Seattle%20Art%20Museum%20Seattle%20Washington%20photos</x:v>
      </x:c>
      <x:c r="M298" s="16" t="str">
        <x:v>https://www.google.com/search?q=Seattle%20Art%20Museum%20Seattle%20Washington%20wikipedia%20OR%20wikivoyage</x:v>
      </x:c>
      <x:c r="N298" s="16" t="str">
        <x:v>https://www.google.com/maps/search/?api=1&amp;query=Seattle%20Art%20Museum%2C%20Seattle%2C%20Washington</x:v>
      </x:c>
      <x:c r="O298" s="17" t="b">
        <x:v>1</x:v>
      </x:c>
      <x:c r="P298" s="16" t="b">
        <x:f>IFERROR(VLOOKUP(A298,States!$A$2:$B$18,2,FALSE),FALSE)</x:f>
        <x:v>1</x:v>
      </x:c>
      <x:c r="Q298" s="16" t="b">
        <x:f>AND(OR(O298=TRUE,O298="TRUE"),OR(P298=TRUE,P298="TRUE"))</x:f>
        <x:v>1</x:v>
      </x:c>
    </x:row>
    <x:row r="299">
      <x:c r="A299" s="16" t="str">
        <x:v>Washington</x:v>
      </x:c>
      <x:c r="B299" s="16" t="str">
        <x:v>Oak Harbor</x:v>
      </x:c>
      <x:c r="C299" s="16" t="n">
        <x:v>-122.642</x:v>
      </x:c>
      <x:c r="D299" s="16" t="n">
        <x:v>48.406</x:v>
      </x:c>
      <x:c r="E299" s="16" t="str">
        <x:v>Deception Pass State Park</x:v>
      </x:c>
      <x:c r="F299" s="16" t="str">
        <x:v>Families, hikers, photographers</x:v>
      </x:c>
      <x:c r="G299" s="16" t="str">
        <x:v>Bridges, cliffs, beaches, and tidewater views make a strong island stop.</x:v>
      </x:c>
      <x:c r="H299" s="16" t="str">
        <x:v>Nature</x:v>
      </x:c>
      <x:c r="I299" s="16" t="str">
        <x:v>https://www.google.com/search?q=Deception%20Pass%20State%20Park%20Oak%20Harbor%20Washington%20official%20website</x:v>
      </x:c>
      <x:c r="J299" s="16" t="str">
        <x:v>https://www.google.com/search?q=site%3Astateofwatourism.com%20Deception%20Pass%20State%20Park</x:v>
      </x:c>
      <x:c r="K299" s="16" t="str">
        <x:v>https://www.google.com/search?q=Deception%20Pass%20State%20Park%20Oak%20Harbor%20Washington%20visitor%20information</x:v>
      </x:c>
      <x:c r="L299" s="16" t="str">
        <x:v>https://www.google.com/search?q=Deception%20Pass%20State%20Park%20Oak%20Harbor%20Washington%20photos</x:v>
      </x:c>
      <x:c r="M299" s="16" t="str">
        <x:v>https://www.google.com/search?q=Deception%20Pass%20State%20Park%20Oak%20Harbor%20Washington%20wikipedia%20OR%20wikivoyage</x:v>
      </x:c>
      <x:c r="N299" s="16" t="str">
        <x:v>https://www.google.com/maps/search/?api=1&amp;query=Deception%20Pass%20State%20Park%2C%20Oak%20Harbor%2C%20Washington</x:v>
      </x:c>
      <x:c r="O299" s="17" t="b">
        <x:v>1</x:v>
      </x:c>
      <x:c r="P299" s="16" t="b">
        <x:f>IFERROR(VLOOKUP(A299,States!$A$2:$B$18,2,FALSE),FALSE)</x:f>
        <x:v>1</x:v>
      </x:c>
      <x:c r="Q299" s="16" t="b">
        <x:f>AND(OR(O299=TRUE,O299="TRUE"),OR(P299=TRUE,P299="TRUE"))</x:f>
        <x:v>1</x:v>
      </x:c>
    </x:row>
    <x:row r="300">
      <x:c r="A300" s="16" t="str">
        <x:v>Washington</x:v>
      </x:c>
      <x:c r="B300" s="16" t="str">
        <x:v>Walla Walla</x:v>
      </x:c>
      <x:c r="C300" s="16" t="n">
        <x:v>-118.343</x:v>
      </x:c>
      <x:c r="D300" s="16" t="n">
        <x:v>46.067</x:v>
      </x:c>
      <x:c r="E300" s="16" t="str">
        <x:v>Walla Walla Wine Country</x:v>
      </x:c>
      <x:c r="F300" s="16" t="str">
        <x:v>Adults, food lovers, couples</x:v>
      </x:c>
      <x:c r="G300" s="16" t="str">
        <x:v>Tasting rooms and vineyards make a relaxed eastern Washington stay.</x:v>
      </x:c>
      <x:c r="H300" s="16" t="str">
        <x:v>Food/Drink</x:v>
      </x:c>
      <x:c r="I300" s="16" t="str">
        <x:v>https://www.google.com/search?q=Walla%20Walla%20Wine%20Country%20Walla%20Walla%20Washington%20official%20website</x:v>
      </x:c>
      <x:c r="J300" s="16" t="str">
        <x:v>https://www.google.com/search?q=site%3Astateofwatourism.com%20Walla%20Walla%20Wine%20Country</x:v>
      </x:c>
      <x:c r="K300" s="16" t="str">
        <x:v>https://www.google.com/search?q=Walla%20Walla%20Wine%20Country%20Walla%20Walla%20Washington%20visitor%20information</x:v>
      </x:c>
      <x:c r="L300" s="16" t="str">
        <x:v>https://www.google.com/search?q=Walla%20Walla%20Wine%20Country%20Walla%20Walla%20Washington%20photos</x:v>
      </x:c>
      <x:c r="M300" s="16" t="str">
        <x:v>https://www.google.com/search?q=Walla%20Walla%20Wine%20Country%20Walla%20Walla%20Washington%20wikipedia%20OR%20wikivoyage</x:v>
      </x:c>
      <x:c r="N300" s="16" t="str">
        <x:v>https://www.google.com/maps/search/?api=1&amp;query=Walla%20Walla%20Wine%20Country%2C%20Walla%20Walla%2C%20Washington</x:v>
      </x:c>
      <x:c r="O300" s="17" t="b">
        <x:v>1</x:v>
      </x:c>
      <x:c r="P300" s="16" t="b">
        <x:f>IFERROR(VLOOKUP(A300,States!$A$2:$B$18,2,FALSE),FALSE)</x:f>
        <x:v>1</x:v>
      </x:c>
      <x:c r="Q300" s="16" t="b">
        <x:f>AND(OR(O300=TRUE,O300="TRUE"),OR(P300=TRUE,P300="TRUE"))</x:f>
        <x:v>1</x:v>
      </x:c>
    </x:row>
    <x:row r="301">
      <x:c r="A301" s="16" t="str">
        <x:v>Washington</x:v>
      </x:c>
      <x:c r="B301" s="16" t="str">
        <x:v>Vancouver</x:v>
      </x:c>
      <x:c r="C301" s="16" t="n">
        <x:v>-122.671</x:v>
      </x:c>
      <x:c r="D301" s="16" t="n">
        <x:v>45.626</x:v>
      </x:c>
      <x:c r="E301" s="16" t="str">
        <x:v>Fort Vancouver National Historic Site</x:v>
      </x:c>
      <x:c r="F301" s="16" t="str">
        <x:v>History travelers, families</x:v>
      </x:c>
      <x:c r="G301" s="16" t="str">
        <x:v>Reconstructed fur-trade and military sites explain Columbia River history.</x:v>
      </x:c>
      <x:c r="H301" s="16" t="str">
        <x:v>Historic Site</x:v>
      </x:c>
      <x:c r="I301" s="16" t="str">
        <x:v>https://www.google.com/search?q=Fort%20Vancouver%20National%20Historic%20Site%20Vancouver%20Washington%20official%20website</x:v>
      </x:c>
      <x:c r="J301" s="16" t="str">
        <x:v>https://www.google.com/search?q=site%3Astateofwatourism.com%20Fort%20Vancouver%20National%20Historic%20Site</x:v>
      </x:c>
      <x:c r="K301" s="16" t="str">
        <x:v>https://www.google.com/search?q=Fort%20Vancouver%20National%20Historic%20Site%20Vancouver%20Washington%20visitor%20information</x:v>
      </x:c>
      <x:c r="L301" s="16" t="str">
        <x:v>https://www.google.com/search?q=Fort%20Vancouver%20National%20Historic%20Site%20Vancouver%20Washington%20photos</x:v>
      </x:c>
      <x:c r="M301" s="16" t="str">
        <x:v>https://www.google.com/search?q=Fort%20Vancouver%20National%20Historic%20Site%20Vancouver%20Washington%20wikipedia%20OR%20wikivoyage</x:v>
      </x:c>
      <x:c r="N301" s="16" t="str">
        <x:v>https://www.google.com/maps/search/?api=1&amp;query=Fort%20Vancouver%20National%20Historic%20Site%2C%20Vancouver%2C%20Washington</x:v>
      </x:c>
      <x:c r="O301" s="17" t="b">
        <x:v>1</x:v>
      </x:c>
      <x:c r="P301" s="16" t="b">
        <x:f>IFERROR(VLOOKUP(A301,States!$A$2:$B$18,2,FALSE),FALSE)</x:f>
        <x:v>1</x:v>
      </x:c>
      <x:c r="Q301" s="16" t="b">
        <x:f>AND(OR(O301=TRUE,O301="TRUE"),OR(P301=TRUE,P301="TRUE"))</x:f>
        <x:v>1</x:v>
      </x:c>
    </x:row>
    <x:row r="302">
      <x:c r="A302" s="16" t="str">
        <x:v>Oregon</x:v>
      </x:c>
      <x:c r="B302" s="16" t="str">
        <x:v>Crater Lake</x:v>
      </x:c>
      <x:c r="C302" s="16" t="n">
        <x:v>-122.168</x:v>
      </x:c>
      <x:c r="D302" s="16" t="n">
        <x:v>42.944</x:v>
      </x:c>
      <x:c r="E302" s="16" t="str">
        <x:v>Crater Lake National Park</x:v>
      </x:c>
      <x:c r="F302" s="16" t="str">
        <x:v>Scenic drivers, hikers, photographers</x:v>
      </x:c>
      <x:c r="G302" s="16" t="str">
        <x:v>A deep blue volcanic lake is Oregon's only national park.</x:v>
      </x:c>
      <x:c r="H302" s="16" t="str">
        <x:v>National Park</x:v>
      </x:c>
      <x:c r="I302" s="16" t="str">
        <x:v>https://www.google.com/search?q=Crater%20Lake%20National%20Park%20Crater%20Lake%20Oregon%20official%20website</x:v>
      </x:c>
      <x:c r="J302" s="16" t="str">
        <x:v>https://www.google.com/search?q=site%3Atraveloregon.com%20Crater%20Lake%20National%20Park</x:v>
      </x:c>
      <x:c r="K302" s="16" t="str">
        <x:v>https://www.google.com/search?q=Crater%20Lake%20National%20Park%20Crater%20Lake%20Oregon%20visitor%20information</x:v>
      </x:c>
      <x:c r="L302" s="16" t="str">
        <x:v>https://www.google.com/search?q=Crater%20Lake%20National%20Park%20Crater%20Lake%20Oregon%20photos</x:v>
      </x:c>
      <x:c r="M302" s="16" t="str">
        <x:v>https://www.google.com/search?q=site%3Anps.gov%20Crater%20Lake%20National%20Park</x:v>
      </x:c>
      <x:c r="N302" s="16" t="str">
        <x:v>https://www.google.com/maps/search/?api=1&amp;query=Crater%20Lake%20National%20Park%2C%20Crater%20Lake%2C%20Oregon</x:v>
      </x:c>
      <x:c r="O302" s="17" t="b">
        <x:v>1</x:v>
      </x:c>
      <x:c r="P302" s="16" t="b">
        <x:f>IFERROR(VLOOKUP(A302,States!$A$2:$B$18,2,FALSE),FALSE)</x:f>
        <x:v>1</x:v>
      </x:c>
      <x:c r="Q302" s="16" t="b">
        <x:f>AND(OR(O302=TRUE,O302="TRUE"),OR(P302=TRUE,P302="TRUE"))</x:f>
        <x:v>1</x:v>
      </x:c>
    </x:row>
    <x:row r="303">
      <x:c r="A303" s="16" t="str">
        <x:v>Oregon</x:v>
      </x:c>
      <x:c r="B303" s="16" t="str">
        <x:v>Corbett</x:v>
      </x:c>
      <x:c r="C303" s="16" t="n">
        <x:v>-122.115</x:v>
      </x:c>
      <x:c r="D303" s="16" t="n">
        <x:v>45.576</x:v>
      </x:c>
      <x:c r="E303" s="16" t="str">
        <x:v>Multnomah Falls and Columbia River Gorge</x:v>
      </x:c>
      <x:c r="F303" s="16" t="str">
        <x:v>Families, hikers, photographers</x:v>
      </x:c>
      <x:c r="G303" s="16" t="str">
        <x:v>A tall waterfall and gorge viewpoints sit close to Portland.</x:v>
      </x:c>
      <x:c r="H303" s="16" t="str">
        <x:v>Nature</x:v>
      </x:c>
      <x:c r="I303" s="16" t="str">
        <x:v>https://www.google.com/search?q=Multnomah%20Falls%20and%20Columbia%20River%20Gorge%20Corbett%20Oregon%20official%20website</x:v>
      </x:c>
      <x:c r="J303" s="16" t="str">
        <x:v>https://www.google.com/search?q=site%3Atraveloregon.com%20Multnomah%20Falls%20and%20Columbia%20River%20Gorge</x:v>
      </x:c>
      <x:c r="K303" s="16" t="str">
        <x:v>https://www.google.com/search?q=Multnomah%20Falls%20and%20Columbia%20River%20Gorge%20Corbett%20Oregon%20visitor%20information</x:v>
      </x:c>
      <x:c r="L303" s="16" t="str">
        <x:v>https://www.google.com/search?q=Multnomah%20Falls%20and%20Columbia%20River%20Gorge%20Corbett%20Oregon%20photos</x:v>
      </x:c>
      <x:c r="M303" s="16" t="str">
        <x:v>https://www.google.com/search?q=Multnomah%20Falls%20and%20Columbia%20River%20Gorge%20Corbett%20Oregon%20wikipedia%20OR%20wikivoyage</x:v>
      </x:c>
      <x:c r="N303" s="16" t="str">
        <x:v>https://www.google.com/maps/search/?api=1&amp;query=Multnomah%20Falls%20and%20Columbia%20River%20Gorge%2C%20Corbett%2C%20Oregon</x:v>
      </x:c>
      <x:c r="O303" s="17" t="b">
        <x:v>1</x:v>
      </x:c>
      <x:c r="P303" s="16" t="b">
        <x:f>IFERROR(VLOOKUP(A303,States!$A$2:$B$18,2,FALSE),FALSE)</x:f>
        <x:v>1</x:v>
      </x:c>
      <x:c r="Q303" s="16" t="b">
        <x:f>AND(OR(O303=TRUE,O303="TRUE"),OR(P303=TRUE,P303="TRUE"))</x:f>
        <x:v>1</x:v>
      </x:c>
    </x:row>
    <x:row r="304">
      <x:c r="A304" s="16" t="str">
        <x:v>Oregon</x:v>
      </x:c>
      <x:c r="B304" s="16" t="str">
        <x:v>Cannon Beach</x:v>
      </x:c>
      <x:c r="C304" s="16" t="n">
        <x:v>-123.961</x:v>
      </x:c>
      <x:c r="D304" s="16" t="n">
        <x:v>45.891</x:v>
      </x:c>
      <x:c r="E304" s="16" t="str">
        <x:v>Cannon Beach and Haystack Rock</x:v>
      </x:c>
      <x:c r="F304" s="16" t="str">
        <x:v>Families, photographers, couples</x:v>
      </x:c>
      <x:c r="G304" s="16" t="str">
        <x:v>A scenic beach and sea stack define the north Oregon Coast.</x:v>
      </x:c>
      <x:c r="H304" s="16" t="str">
        <x:v>Beach</x:v>
      </x:c>
      <x:c r="I304" s="16" t="str">
        <x:v>https://www.google.com/search?q=Cannon%20Beach%20and%20Haystack%20Rock%20Cannon%20Beach%20Oregon%20official%20website</x:v>
      </x:c>
      <x:c r="J304" s="16" t="str">
        <x:v>https://www.google.com/search?q=site%3Atraveloregon.com%20Cannon%20Beach%20and%20Haystack%20Rock</x:v>
      </x:c>
      <x:c r="K304" s="16" t="str">
        <x:v>https://www.google.com/search?q=Cannon%20Beach%20and%20Haystack%20Rock%20Cannon%20Beach%20Oregon%20visitor%20information</x:v>
      </x:c>
      <x:c r="L304" s="16" t="str">
        <x:v>https://www.google.com/search?q=Cannon%20Beach%20and%20Haystack%20Rock%20Cannon%20Beach%20Oregon%20photos</x:v>
      </x:c>
      <x:c r="M304" s="16" t="str">
        <x:v>https://www.google.com/search?q=Cannon%20Beach%20and%20Haystack%20Rock%20Cannon%20Beach%20Oregon%20wikipedia%20OR%20wikivoyage</x:v>
      </x:c>
      <x:c r="N304" s="16" t="str">
        <x:v>https://www.google.com/maps/search/?api=1&amp;query=Cannon%20Beach%20and%20Haystack%20Rock%2C%20Cannon%20Beach%2C%20Oregon</x:v>
      </x:c>
      <x:c r="O304" s="17" t="b">
        <x:v>1</x:v>
      </x:c>
      <x:c r="P304" s="16" t="b">
        <x:f>IFERROR(VLOOKUP(A304,States!$A$2:$B$18,2,FALSE),FALSE)</x:f>
        <x:v>1</x:v>
      </x:c>
      <x:c r="Q304" s="16" t="b">
        <x:f>AND(OR(O304=TRUE,O304="TRUE"),OR(P304=TRUE,P304="TRUE"))</x:f>
        <x:v>1</x:v>
      </x:c>
    </x:row>
    <x:row r="305">
      <x:c r="A305" s="16" t="str">
        <x:v>Oregon</x:v>
      </x:c>
      <x:c r="B305" s="16" t="str">
        <x:v>Portland</x:v>
      </x:c>
      <x:c r="C305" s="16" t="n">
        <x:v>-122.682</x:v>
      </x:c>
      <x:c r="D305" s="16" t="n">
        <x:v>45.524</x:v>
      </x:c>
      <x:c r="E305" s="16" t="str">
        <x:v>Powell's City of Books</x:v>
      </x:c>
      <x:c r="F305" s="16" t="str">
        <x:v>Book lovers, city explorers</x:v>
      </x:c>
      <x:c r="G305" s="16" t="str">
        <x:v>A huge independent bookstore turns browsing into a destination.</x:v>
      </x:c>
      <x:c r="H305" s="16" t="str">
        <x:v>Shopping</x:v>
      </x:c>
      <x:c r="I305" s="16" t="str">
        <x:v>https://www.google.com/search?q=Powell's%20City%20of%20Books%20Portland%20Oregon%20official%20website</x:v>
      </x:c>
      <x:c r="J305" s="16" t="str">
        <x:v>https://www.google.com/search?q=site%3Atraveloregon.com%20Powell's%20City%20of%20Books</x:v>
      </x:c>
      <x:c r="K305" s="16" t="str">
        <x:v>https://www.google.com/search?q=Powell's%20City%20of%20Books%20Portland%20Oregon%20visitor%20information</x:v>
      </x:c>
      <x:c r="L305" s="16" t="str">
        <x:v>https://www.google.com/search?q=Powell's%20City%20of%20Books%20Portland%20Oregon%20photos</x:v>
      </x:c>
      <x:c r="M305" s="16" t="str">
        <x:v>https://www.google.com/search?q=Powell's%20City%20of%20Books%20Portland%20Oregon%20wikipedia%20OR%20wikivoyage</x:v>
      </x:c>
      <x:c r="N305" s="16" t="str">
        <x:v>https://www.google.com/maps/search/?api=1&amp;query=Powell's%20City%20of%20Books%2C%20Portland%2C%20Oregon</x:v>
      </x:c>
      <x:c r="O305" s="17" t="b">
        <x:v>1</x:v>
      </x:c>
      <x:c r="P305" s="16" t="b">
        <x:f>IFERROR(VLOOKUP(A305,States!$A$2:$B$18,2,FALSE),FALSE)</x:f>
        <x:v>1</x:v>
      </x:c>
      <x:c r="Q305" s="16" t="b">
        <x:f>AND(OR(O305=TRUE,O305="TRUE"),OR(P305=TRUE,P305="TRUE"))</x:f>
        <x:v>1</x:v>
      </x:c>
    </x:row>
    <x:row r="306">
      <x:c r="A306" s="16" t="str">
        <x:v>Oregon</x:v>
      </x:c>
      <x:c r="B306" s="16" t="str">
        <x:v>Portland</x:v>
      </x:c>
      <x:c r="C306" s="16" t="n">
        <x:v>-122.709</x:v>
      </x:c>
      <x:c r="D306" s="16" t="n">
        <x:v>45.518</x:v>
      </x:c>
      <x:c r="E306" s="16" t="str">
        <x:v>Portland Japanese Garden</x:v>
      </x:c>
      <x:c r="F306" s="16" t="str">
        <x:v>Garden lovers, photographers</x:v>
      </x:c>
      <x:c r="G306" s="16" t="str">
        <x:v>Carefully designed gardens overlook Portland and Mount Hood.</x:v>
      </x:c>
      <x:c r="H306" s="16" t="str">
        <x:v>Garden</x:v>
      </x:c>
      <x:c r="I306" s="16" t="str">
        <x:v>https://www.google.com/search?q=Portland%20Japanese%20Garden%20Portland%20Oregon%20official%20website</x:v>
      </x:c>
      <x:c r="J306" s="16" t="str">
        <x:v>https://www.google.com/search?q=site%3Atraveloregon.com%20Portland%20Japanese%20Garden</x:v>
      </x:c>
      <x:c r="K306" s="16" t="str">
        <x:v>https://www.google.com/search?q=Portland%20Japanese%20Garden%20Portland%20Oregon%20visitor%20information</x:v>
      </x:c>
      <x:c r="L306" s="16" t="str">
        <x:v>https://www.google.com/search?q=Portland%20Japanese%20Garden%20Portland%20Oregon%20photos</x:v>
      </x:c>
      <x:c r="M306" s="16" t="str">
        <x:v>https://www.google.com/search?q=Portland%20Japanese%20Garden%20Portland%20Oregon%20wikipedia%20OR%20wikivoyage</x:v>
      </x:c>
      <x:c r="N306" s="16" t="str">
        <x:v>https://www.google.com/maps/search/?api=1&amp;query=Portland%20Japanese%20Garden%2C%20Portland%2C%20Oregon</x:v>
      </x:c>
      <x:c r="O306" s="17" t="b">
        <x:v>1</x:v>
      </x:c>
      <x:c r="P306" s="16" t="b">
        <x:f>IFERROR(VLOOKUP(A306,States!$A$2:$B$18,2,FALSE),FALSE)</x:f>
        <x:v>1</x:v>
      </x:c>
      <x:c r="Q306" s="16" t="b">
        <x:f>AND(OR(O306=TRUE,O306="TRUE"),OR(P306=TRUE,P306="TRUE"))</x:f>
        <x:v>1</x:v>
      </x:c>
    </x:row>
    <x:row r="307">
      <x:c r="A307" s="16" t="str">
        <x:v>Oregon</x:v>
      </x:c>
      <x:c r="B307" s="16" t="str">
        <x:v>Newport</x:v>
      </x:c>
      <x:c r="C307" s="16" t="n">
        <x:v>-124.052</x:v>
      </x:c>
      <x:c r="D307" s="16" t="n">
        <x:v>44.625</x:v>
      </x:c>
      <x:c r="E307" s="16" t="str">
        <x:v>Oregon Coast Aquarium</x:v>
      </x:c>
      <x:c r="F307" s="16" t="str">
        <x:v>Families, marine-life fans</x:v>
      </x:c>
      <x:c r="G307" s="16" t="str">
        <x:v>Coastal habitats and marine exhibits make Newport a family anchor.</x:v>
      </x:c>
      <x:c r="H307" s="16" t="str">
        <x:v>Zoo/Aquarium</x:v>
      </x:c>
      <x:c r="I307" s="16" t="str">
        <x:v>https://www.google.com/search?q=Oregon%20Coast%20Aquarium%20Newport%20Oregon%20official%20website</x:v>
      </x:c>
      <x:c r="J307" s="16" t="str">
        <x:v>https://www.google.com/search?q=site%3Atraveloregon.com%20Oregon%20Coast%20Aquarium</x:v>
      </x:c>
      <x:c r="K307" s="16" t="str">
        <x:v>https://www.google.com/search?q=Oregon%20Coast%20Aquarium%20Newport%20Oregon%20visitor%20information</x:v>
      </x:c>
      <x:c r="L307" s="16" t="str">
        <x:v>https://www.google.com/search?q=Oregon%20Coast%20Aquarium%20Newport%20Oregon%20photos</x:v>
      </x:c>
      <x:c r="M307" s="16" t="str">
        <x:v>https://www.google.com/search?q=Oregon%20Coast%20Aquarium%20Newport%20Oregon%20wikipedia%20OR%20wikivoyage</x:v>
      </x:c>
      <x:c r="N307" s="16" t="str">
        <x:v>https://www.google.com/maps/search/?api=1&amp;query=Oregon%20Coast%20Aquarium%2C%20Newport%2C%20Oregon</x:v>
      </x:c>
      <x:c r="O307" s="17" t="b">
        <x:v>1</x:v>
      </x:c>
      <x:c r="P307" s="16" t="b">
        <x:f>IFERROR(VLOOKUP(A307,States!$A$2:$B$18,2,FALSE),FALSE)</x:f>
        <x:v>1</x:v>
      </x:c>
      <x:c r="Q307" s="16" t="b">
        <x:f>AND(OR(O307=TRUE,O307="TRUE"),OR(P307=TRUE,P307="TRUE"))</x:f>
        <x:v>1</x:v>
      </x:c>
    </x:row>
    <x:row r="308">
      <x:c r="A308" s="16" t="str">
        <x:v>Oregon</x:v>
      </x:c>
      <x:c r="B308" s="16" t="str">
        <x:v>Silverton</x:v>
      </x:c>
      <x:c r="C308" s="16" t="n">
        <x:v>-122.655</x:v>
      </x:c>
      <x:c r="D308" s="16" t="n">
        <x:v>44.877</x:v>
      </x:c>
      <x:c r="E308" s="16" t="str">
        <x:v>Silver Falls State Park</x:v>
      </x:c>
      <x:c r="F308" s="16" t="str">
        <x:v>Hikers, families, waterfall fans</x:v>
      </x:c>
      <x:c r="G308" s="16" t="str">
        <x:v>The Trail of Ten Falls passes behind and beside multiple waterfalls.</x:v>
      </x:c>
      <x:c r="H308" s="16" t="str">
        <x:v>Nature</x:v>
      </x:c>
      <x:c r="I308" s="16" t="str">
        <x:v>https://www.google.com/search?q=Silver%20Falls%20State%20Park%20Silverton%20Oregon%20official%20website</x:v>
      </x:c>
      <x:c r="J308" s="16" t="str">
        <x:v>https://www.google.com/search?q=site%3Atraveloregon.com%20Silver%20Falls%20State%20Park</x:v>
      </x:c>
      <x:c r="K308" s="16" t="str">
        <x:v>https://www.google.com/search?q=Silver%20Falls%20State%20Park%20Silverton%20Oregon%20visitor%20information</x:v>
      </x:c>
      <x:c r="L308" s="16" t="str">
        <x:v>https://www.google.com/search?q=Silver%20Falls%20State%20Park%20Silverton%20Oregon%20photos</x:v>
      </x:c>
      <x:c r="M308" s="16" t="str">
        <x:v>https://www.google.com/search?q=Silver%20Falls%20State%20Park%20Silverton%20Oregon%20wikipedia%20OR%20wikivoyage</x:v>
      </x:c>
      <x:c r="N308" s="16" t="str">
        <x:v>https://www.google.com/maps/search/?api=1&amp;query=Silver%20Falls%20State%20Park%2C%20Silverton%2C%20Oregon</x:v>
      </x:c>
      <x:c r="O308" s="17" t="b">
        <x:v>1</x:v>
      </x:c>
      <x:c r="P308" s="16" t="b">
        <x:f>IFERROR(VLOOKUP(A308,States!$A$2:$B$18,2,FALSE),FALSE)</x:f>
        <x:v>1</x:v>
      </x:c>
      <x:c r="Q308" s="16" t="b">
        <x:f>AND(OR(O308=TRUE,O308="TRUE"),OR(P308=TRUE,P308="TRUE"))</x:f>
        <x:v>1</x:v>
      </x:c>
    </x:row>
    <x:row r="309">
      <x:c r="A309" s="16" t="str">
        <x:v>Oregon</x:v>
      </x:c>
      <x:c r="B309" s="16" t="str">
        <x:v>Government Camp</x:v>
      </x:c>
      <x:c r="C309" s="16" t="n">
        <x:v>-121.711</x:v>
      </x:c>
      <x:c r="D309" s="16" t="n">
        <x:v>45.331</x:v>
      </x:c>
      <x:c r="E309" s="16" t="str">
        <x:v>Timberline Lodge and Mount Hood</x:v>
      </x:c>
      <x:c r="F309" s="16" t="str">
        <x:v>Skiers, architecture fans, scenic drivers</x:v>
      </x:c>
      <x:c r="G309" s="16" t="str">
        <x:v>Historic lodge architecture sits high on Oregon's signature mountain.</x:v>
      </x:c>
      <x:c r="H309" s="16" t="str">
        <x:v>Architecture</x:v>
      </x:c>
      <x:c r="I309" s="16" t="str">
        <x:v>https://www.google.com/search?q=Timberline%20Lodge%20and%20Mount%20Hood%20Government%20Camp%20Oregon%20official%20website</x:v>
      </x:c>
      <x:c r="J309" s="16" t="str">
        <x:v>https://www.google.com/search?q=site%3Atraveloregon.com%20Timberline%20Lodge%20and%20Mount%20Hood</x:v>
      </x:c>
      <x:c r="K309" s="16" t="str">
        <x:v>https://www.google.com/search?q=Timberline%20Lodge%20and%20Mount%20Hood%20Government%20Camp%20Oregon%20visitor%20information</x:v>
      </x:c>
      <x:c r="L309" s="16" t="str">
        <x:v>https://www.google.com/search?q=Timberline%20Lodge%20and%20Mount%20Hood%20Government%20Camp%20Oregon%20photos</x:v>
      </x:c>
      <x:c r="M309" s="16" t="str">
        <x:v>https://www.google.com/search?q=Timberline%20Lodge%20and%20Mount%20Hood%20Government%20Camp%20Oregon%20wikipedia%20OR%20wikivoyage</x:v>
      </x:c>
      <x:c r="N309" s="16" t="str">
        <x:v>https://www.google.com/maps/search/?api=1&amp;query=Timberline%20Lodge%20and%20Mount%20Hood%2C%20Government%20Camp%2C%20Oregon</x:v>
      </x:c>
      <x:c r="O309" s="17" t="b">
        <x:v>1</x:v>
      </x:c>
      <x:c r="P309" s="16" t="b">
        <x:f>IFERROR(VLOOKUP(A309,States!$A$2:$B$18,2,FALSE),FALSE)</x:f>
        <x:v>1</x:v>
      </x:c>
      <x:c r="Q309" s="16" t="b">
        <x:f>AND(OR(O309=TRUE,O309="TRUE"),OR(P309=TRUE,P309="TRUE"))</x:f>
        <x:v>1</x:v>
      </x:c>
    </x:row>
    <x:row r="310">
      <x:c r="A310" s="16" t="str">
        <x:v>Oregon</x:v>
      </x:c>
      <x:c r="B310" s="16" t="str">
        <x:v>Mitchell</x:v>
      </x:c>
      <x:c r="C310" s="16" t="n">
        <x:v>-120.265</x:v>
      </x:c>
      <x:c r="D310" s="16" t="n">
        <x:v>44.659</x:v>
      </x:c>
      <x:c r="E310" s="16" t="str">
        <x:v>Painted Hills</x:v>
      </x:c>
      <x:c r="F310" s="16" t="str">
        <x:v>Photographers, geology fans</x:v>
      </x:c>
      <x:c r="G310" s="16" t="str">
        <x:v>Color-banded hills create one of Oregon's most unusual landscapes.</x:v>
      </x:c>
      <x:c r="H310" s="16" t="str">
        <x:v>Nature</x:v>
      </x:c>
      <x:c r="I310" s="16" t="str">
        <x:v>https://www.google.com/search?q=Painted%20Hills%20Mitchell%20Oregon%20official%20website</x:v>
      </x:c>
      <x:c r="J310" s="16" t="str">
        <x:v>https://www.google.com/search?q=site%3Atraveloregon.com%20Painted%20Hills</x:v>
      </x:c>
      <x:c r="K310" s="16" t="str">
        <x:v>https://www.google.com/search?q=Painted%20Hills%20Mitchell%20Oregon%20visitor%20information</x:v>
      </x:c>
      <x:c r="L310" s="16" t="str">
        <x:v>https://www.google.com/search?q=Painted%20Hills%20Mitchell%20Oregon%20photos</x:v>
      </x:c>
      <x:c r="M310" s="16" t="str">
        <x:v>https://www.google.com/search?q=Painted%20Hills%20Mitchell%20Oregon%20wikipedia%20OR%20wikivoyage</x:v>
      </x:c>
      <x:c r="N310" s="16" t="str">
        <x:v>https://www.google.com/maps/search/?api=1&amp;query=Painted%20Hills%2C%20Mitchell%2C%20Oregon</x:v>
      </x:c>
      <x:c r="O310" s="17" t="b">
        <x:v>1</x:v>
      </x:c>
      <x:c r="P310" s="16" t="b">
        <x:f>IFERROR(VLOOKUP(A310,States!$A$2:$B$18,2,FALSE),FALSE)</x:f>
        <x:v>1</x:v>
      </x:c>
      <x:c r="Q310" s="16" t="b">
        <x:f>AND(OR(O310=TRUE,O310="TRUE"),OR(P310=TRUE,P310="TRUE"))</x:f>
        <x:v>1</x:v>
      </x:c>
    </x:row>
    <x:row r="311">
      <x:c r="A311" s="16" t="str">
        <x:v>Oregon</x:v>
      </x:c>
      <x:c r="B311" s="16" t="str">
        <x:v>Terrebonne</x:v>
      </x:c>
      <x:c r="C311" s="16" t="n">
        <x:v>-121.14</x:v>
      </x:c>
      <x:c r="D311" s="16" t="n">
        <x:v>44.368</x:v>
      </x:c>
      <x:c r="E311" s="16" t="str">
        <x:v>Smith Rock State Park</x:v>
      </x:c>
      <x:c r="F311" s="16" t="str">
        <x:v>Climbers, hikers, photographers</x:v>
      </x:c>
      <x:c r="G311" s="16" t="str">
        <x:v>Tuff cliffs and river trails make a Central Oregon landmark.</x:v>
      </x:c>
      <x:c r="H311" s="16" t="str">
        <x:v>Nature</x:v>
      </x:c>
      <x:c r="I311" s="16" t="str">
        <x:v>https://www.google.com/search?q=Smith%20Rock%20State%20Park%20Terrebonne%20Oregon%20official%20website</x:v>
      </x:c>
      <x:c r="J311" s="16" t="str">
        <x:v>https://www.google.com/search?q=site%3Atraveloregon.com%20Smith%20Rock%20State%20Park</x:v>
      </x:c>
      <x:c r="K311" s="16" t="str">
        <x:v>https://www.google.com/search?q=Smith%20Rock%20State%20Park%20Terrebonne%20Oregon%20visitor%20information</x:v>
      </x:c>
      <x:c r="L311" s="16" t="str">
        <x:v>https://www.google.com/search?q=Smith%20Rock%20State%20Park%20Terrebonne%20Oregon%20photos</x:v>
      </x:c>
      <x:c r="M311" s="16" t="str">
        <x:v>https://www.google.com/search?q=Smith%20Rock%20State%20Park%20Terrebonne%20Oregon%20wikipedia%20OR%20wikivoyage</x:v>
      </x:c>
      <x:c r="N311" s="16" t="str">
        <x:v>https://www.google.com/maps/search/?api=1&amp;query=Smith%20Rock%20State%20Park%2C%20Terrebonne%2C%20Oregon</x:v>
      </x:c>
      <x:c r="O311" s="17" t="b">
        <x:v>1</x:v>
      </x:c>
      <x:c r="P311" s="16" t="b">
        <x:f>IFERROR(VLOOKUP(A311,States!$A$2:$B$18,2,FALSE),FALSE)</x:f>
        <x:v>1</x:v>
      </x:c>
      <x:c r="Q311" s="16" t="b">
        <x:f>AND(OR(O311=TRUE,O311="TRUE"),OR(P311=TRUE,P311="TRUE"))</x:f>
        <x:v>1</x:v>
      </x:c>
    </x:row>
    <x:row r="312">
      <x:c r="A312" s="16" t="str">
        <x:v>Oregon</x:v>
      </x:c>
      <x:c r="B312" s="16" t="str">
        <x:v>Ashland</x:v>
      </x:c>
      <x:c r="C312" s="16" t="n">
        <x:v>-122.717</x:v>
      </x:c>
      <x:c r="D312" s="16" t="n">
        <x:v>42.193</x:v>
      </x:c>
      <x:c r="E312" s="16" t="str">
        <x:v>Oregon Shakespeare Festival</x:v>
      </x:c>
      <x:c r="F312" s="16" t="str">
        <x:v>Theater lovers, couples</x:v>
      </x:c>
      <x:c r="G312" s="16" t="str">
        <x:v>A major repertory theater anchors Ashland's cultural scene.</x:v>
      </x:c>
      <x:c r="H312" s="16" t="str">
        <x:v>Arts/Culture</x:v>
      </x:c>
      <x:c r="I312" s="16" t="str">
        <x:v>https://www.google.com/search?q=Oregon%20Shakespeare%20Festival%20Ashland%20Oregon%20official%20website</x:v>
      </x:c>
      <x:c r="J312" s="16" t="str">
        <x:v>https://www.google.com/search?q=site%3Atraveloregon.com%20Oregon%20Shakespeare%20Festival</x:v>
      </x:c>
      <x:c r="K312" s="16" t="str">
        <x:v>https://www.google.com/search?q=Oregon%20Shakespeare%20Festival%20Ashland%20Oregon%20visitor%20information</x:v>
      </x:c>
      <x:c r="L312" s="16" t="str">
        <x:v>https://www.google.com/search?q=Oregon%20Shakespeare%20Festival%20Ashland%20Oregon%20photos</x:v>
      </x:c>
      <x:c r="M312" s="16" t="str">
        <x:v>https://www.google.com/search?q=Oregon%20Shakespeare%20Festival%20Ashland%20Oregon%20wikipedia%20OR%20wikivoyage</x:v>
      </x:c>
      <x:c r="N312" s="16" t="str">
        <x:v>https://www.google.com/maps/search/?api=1&amp;query=Oregon%20Shakespeare%20Festival%2C%20Ashland%2C%20Oregon</x:v>
      </x:c>
      <x:c r="O312" s="17" t="b">
        <x:v>1</x:v>
      </x:c>
      <x:c r="P312" s="16" t="b">
        <x:f>IFERROR(VLOOKUP(A312,States!$A$2:$B$18,2,FALSE),FALSE)</x:f>
        <x:v>1</x:v>
      </x:c>
      <x:c r="Q312" s="16" t="b">
        <x:f>AND(OR(O312=TRUE,O312="TRUE"),OR(P312=TRUE,P312="TRUE"))</x:f>
        <x:v>1</x:v>
      </x:c>
    </x:row>
    <x:row r="313">
      <x:c r="A313" s="16" t="str">
        <x:v>Oregon</x:v>
      </x:c>
      <x:c r="B313" s="16" t="str">
        <x:v>Astoria</x:v>
      </x:c>
      <x:c r="C313" s="16" t="n">
        <x:v>-123.832</x:v>
      </x:c>
      <x:c r="D313" s="16" t="n">
        <x:v>46.188</x:v>
      </x:c>
      <x:c r="E313" s="16" t="str">
        <x:v>Columbia River Maritime Museum</x:v>
      </x:c>
      <x:c r="F313" s="16" t="str">
        <x:v>History fans, families</x:v>
      </x:c>
      <x:c r="G313" s="16" t="str">
        <x:v>Exhibits explain shipwrecks, pilots, and the Columbia River bar.</x:v>
      </x:c>
      <x:c r="H313" s="16" t="str">
        <x:v>Museum</x:v>
      </x:c>
      <x:c r="I313" s="16" t="str">
        <x:v>https://www.google.com/search?q=Columbia%20River%20Maritime%20Museum%20Astoria%20Oregon%20official%20website</x:v>
      </x:c>
      <x:c r="J313" s="16" t="str">
        <x:v>https://www.google.com/search?q=site%3Atraveloregon.com%20Columbia%20River%20Maritime%20Museum</x:v>
      </x:c>
      <x:c r="K313" s="16" t="str">
        <x:v>https://www.google.com/search?q=Columbia%20River%20Maritime%20Museum%20Astoria%20Oregon%20visitor%20information</x:v>
      </x:c>
      <x:c r="L313" s="16" t="str">
        <x:v>https://www.google.com/search?q=Columbia%20River%20Maritime%20Museum%20Astoria%20Oregon%20photos</x:v>
      </x:c>
      <x:c r="M313" s="16" t="str">
        <x:v>https://www.google.com/search?q=Columbia%20River%20Maritime%20Museum%20Astoria%20Oregon%20wikipedia%20OR%20wikivoyage</x:v>
      </x:c>
      <x:c r="N313" s="16" t="str">
        <x:v>https://www.google.com/maps/search/?api=1&amp;query=Columbia%20River%20Maritime%20Museum%2C%20Astoria%2C%20Oregon</x:v>
      </x:c>
      <x:c r="O313" s="17" t="b">
        <x:v>1</x:v>
      </x:c>
      <x:c r="P313" s="16" t="b">
        <x:f>IFERROR(VLOOKUP(A313,States!$A$2:$B$18,2,FALSE),FALSE)</x:f>
        <x:v>1</x:v>
      </x:c>
      <x:c r="Q313" s="16" t="b">
        <x:f>AND(OR(O313=TRUE,O313="TRUE"),OR(P313=TRUE,P313="TRUE"))</x:f>
        <x:v>1</x:v>
      </x:c>
    </x:row>
    <x:row r="314">
      <x:c r="A314" s="16" t="str">
        <x:v>Oregon</x:v>
      </x:c>
      <x:c r="B314" s="16" t="str">
        <x:v>McMinnville</x:v>
      </x:c>
      <x:c r="C314" s="16" t="n">
        <x:v>-123.146</x:v>
      </x:c>
      <x:c r="D314" s="16" t="n">
        <x:v>45.204</x:v>
      </x:c>
      <x:c r="E314" s="16" t="str">
        <x:v>Evergreen Aviation and Space Museum</x:v>
      </x:c>
      <x:c r="F314" s="16" t="str">
        <x:v>Aviation fans, families</x:v>
      </x:c>
      <x:c r="G314" s="16" t="str">
        <x:v>The Spruce Goose and aerospace exhibits create a large museum visit.</x:v>
      </x:c>
      <x:c r="H314" s="16" t="str">
        <x:v>Museum</x:v>
      </x:c>
      <x:c r="I314" s="16" t="str">
        <x:v>https://www.google.com/search?q=Evergreen%20Aviation%20and%20Space%20Museum%20McMinnville%20Oregon%20official%20website</x:v>
      </x:c>
      <x:c r="J314" s="16" t="str">
        <x:v>https://www.google.com/search?q=site%3Atraveloregon.com%20Evergreen%20Aviation%20and%20Space%20Museum</x:v>
      </x:c>
      <x:c r="K314" s="16" t="str">
        <x:v>https://www.google.com/search?q=Evergreen%20Aviation%20and%20Space%20Museum%20McMinnville%20Oregon%20visitor%20information</x:v>
      </x:c>
      <x:c r="L314" s="16" t="str">
        <x:v>https://www.google.com/search?q=Evergreen%20Aviation%20and%20Space%20Museum%20McMinnville%20Oregon%20photos</x:v>
      </x:c>
      <x:c r="M314" s="16" t="str">
        <x:v>https://www.google.com/search?q=Evergreen%20Aviation%20and%20Space%20Museum%20McMinnville%20Oregon%20wikipedia%20OR%20wikivoyage</x:v>
      </x:c>
      <x:c r="N314" s="16" t="str">
        <x:v>https://www.google.com/maps/search/?api=1&amp;query=Evergreen%20Aviation%20and%20Space%20Museum%2C%20McMinnville%2C%20Oregon</x:v>
      </x:c>
      <x:c r="O314" s="17" t="b">
        <x:v>1</x:v>
      </x:c>
      <x:c r="P314" s="16" t="b">
        <x:f>IFERROR(VLOOKUP(A314,States!$A$2:$B$18,2,FALSE),FALSE)</x:f>
        <x:v>1</x:v>
      </x:c>
      <x:c r="Q314" s="16" t="b">
        <x:f>AND(OR(O314=TRUE,O314="TRUE"),OR(P314=TRUE,P314="TRUE"))</x:f>
        <x:v>1</x:v>
      </x:c>
    </x:row>
    <x:row r="315">
      <x:c r="A315" s="16" t="str">
        <x:v>Oregon</x:v>
      </x:c>
      <x:c r="B315" s="16" t="str">
        <x:v>Cave Junction</x:v>
      </x:c>
      <x:c r="C315" s="16" t="n">
        <x:v>-123.407</x:v>
      </x:c>
      <x:c r="D315" s="16" t="n">
        <x:v>42.101</x:v>
      </x:c>
      <x:c r="E315" s="16" t="str">
        <x:v>Oregon Caves National Monument</x:v>
      </x:c>
      <x:c r="F315" s="16" t="str">
        <x:v>Cave fans, families</x:v>
      </x:c>
      <x:c r="G315" s="16" t="str">
        <x:v>Guided marble cave tours pair with forested Siskiyou scenery.</x:v>
      </x:c>
      <x:c r="H315" s="16" t="str">
        <x:v>National Monument</x:v>
      </x:c>
      <x:c r="I315" s="16" t="str">
        <x:v>https://www.google.com/search?q=Oregon%20Caves%20National%20Monument%20Cave%20Junction%20Oregon%20official%20website</x:v>
      </x:c>
      <x:c r="J315" s="16" t="str">
        <x:v>https://www.google.com/search?q=site%3Atraveloregon.com%20Oregon%20Caves%20National%20Monument</x:v>
      </x:c>
      <x:c r="K315" s="16" t="str">
        <x:v>https://www.google.com/search?q=Oregon%20Caves%20National%20Monument%20Cave%20Junction%20Oregon%20visitor%20information</x:v>
      </x:c>
      <x:c r="L315" s="16" t="str">
        <x:v>https://www.google.com/search?q=Oregon%20Caves%20National%20Monument%20Cave%20Junction%20Oregon%20photos</x:v>
      </x:c>
      <x:c r="M315" s="16" t="str">
        <x:v>https://www.google.com/search?q=site%3Anps.gov%20Oregon%20Caves%20National%20Monument</x:v>
      </x:c>
      <x:c r="N315" s="16" t="str">
        <x:v>https://www.google.com/maps/search/?api=1&amp;query=Oregon%20Caves%20National%20Monument%2C%20Cave%20Junction%2C%20Oregon</x:v>
      </x:c>
      <x:c r="O315" s="17" t="b">
        <x:v>1</x:v>
      </x:c>
      <x:c r="P315" s="16" t="b">
        <x:f>IFERROR(VLOOKUP(A315,States!$A$2:$B$18,2,FALSE),FALSE)</x:f>
        <x:v>1</x:v>
      </x:c>
      <x:c r="Q315" s="16" t="b">
        <x:f>AND(OR(O315=TRUE,O315="TRUE"),OR(P315=TRUE,P315="TRUE"))</x:f>
        <x:v>1</x:v>
      </x:c>
    </x:row>
    <x:row r="316">
      <x:c r="A316" s="16" t="str">
        <x:v>Oregon</x:v>
      </x:c>
      <x:c r="B316" s="16" t="str">
        <x:v>Bend</x:v>
      </x:c>
      <x:c r="C316" s="16" t="n">
        <x:v>-121.247</x:v>
      </x:c>
      <x:c r="D316" s="16" t="n">
        <x:v>43.722</x:v>
      </x:c>
      <x:c r="E316" s="16" t="str">
        <x:v>Newberry National Volcanic Monument</x:v>
      </x:c>
      <x:c r="F316" s="16" t="str">
        <x:v>Hikers, geology fans, families</x:v>
      </x:c>
      <x:c r="G316" s="16" t="str">
        <x:v>Lava flows, lakes, and obsidian fields show recent volcanic activity.</x:v>
      </x:c>
      <x:c r="H316" s="16" t="str">
        <x:v>National Monument</x:v>
      </x:c>
      <x:c r="I316" s="16" t="str">
        <x:v>https://www.google.com/search?q=Newberry%20National%20Volcanic%20Monument%20Bend%20Oregon%20official%20website</x:v>
      </x:c>
      <x:c r="J316" s="16" t="str">
        <x:v>https://www.google.com/search?q=site%3Atraveloregon.com%20Newberry%20National%20Volcanic%20Monument</x:v>
      </x:c>
      <x:c r="K316" s="16" t="str">
        <x:v>https://www.google.com/search?q=Newberry%20National%20Volcanic%20Monument%20Bend%20Oregon%20visitor%20information</x:v>
      </x:c>
      <x:c r="L316" s="16" t="str">
        <x:v>https://www.google.com/search?q=Newberry%20National%20Volcanic%20Monument%20Bend%20Oregon%20photos</x:v>
      </x:c>
      <x:c r="M316" s="16" t="str">
        <x:v>https://www.google.com/search?q=site%3Anps.gov%20Newberry%20National%20Volcanic%20Monument</x:v>
      </x:c>
      <x:c r="N316" s="16" t="str">
        <x:v>https://www.google.com/maps/search/?api=1&amp;query=Newberry%20National%20Volcanic%20Monument%2C%20Bend%2C%20Oregon</x:v>
      </x:c>
      <x:c r="O316" s="17" t="b">
        <x:v>1</x:v>
      </x:c>
      <x:c r="P316" s="16" t="b">
        <x:f>IFERROR(VLOOKUP(A316,States!$A$2:$B$18,2,FALSE),FALSE)</x:f>
        <x:v>1</x:v>
      </x:c>
      <x:c r="Q316" s="16" t="b">
        <x:f>AND(OR(O316=TRUE,O316="TRUE"),OR(P316=TRUE,P316="TRUE"))</x:f>
        <x:v>1</x:v>
      </x:c>
    </x:row>
    <x:row r="317">
      <x:c r="A317" s="16" t="str">
        <x:v>Oregon</x:v>
      </x:c>
      <x:c r="B317" s="16" t="str">
        <x:v>Kimberly</x:v>
      </x:c>
      <x:c r="C317" s="16" t="n">
        <x:v>-119.646</x:v>
      </x:c>
      <x:c r="D317" s="16" t="n">
        <x:v>44.548</x:v>
      </x:c>
      <x:c r="E317" s="16" t="str">
        <x:v>John Day Fossil Beds National Monument</x:v>
      </x:c>
      <x:c r="F317" s="16" t="str">
        <x:v>Fossil fans, photographers</x:v>
      </x:c>
      <x:c r="G317" s="16" t="str">
        <x:v>Colorful formations preserve a long record of ancient plants and animals.</x:v>
      </x:c>
      <x:c r="H317" s="16" t="str">
        <x:v>National Monument</x:v>
      </x:c>
      <x:c r="I317" s="16" t="str">
        <x:v>https://www.google.com/search?q=John%20Day%20Fossil%20Beds%20National%20Monument%20Kimberly%20Oregon%20official%20website</x:v>
      </x:c>
      <x:c r="J317" s="16" t="str">
        <x:v>https://www.google.com/search?q=site%3Atraveloregon.com%20John%20Day%20Fossil%20Beds%20National%20Monument</x:v>
      </x:c>
      <x:c r="K317" s="16" t="str">
        <x:v>https://www.google.com/search?q=John%20Day%20Fossil%20Beds%20National%20Monument%20Kimberly%20Oregon%20visitor%20information</x:v>
      </x:c>
      <x:c r="L317" s="16" t="str">
        <x:v>https://www.google.com/search?q=John%20Day%20Fossil%20Beds%20National%20Monument%20Kimberly%20Oregon%20photos</x:v>
      </x:c>
      <x:c r="M317" s="16" t="str">
        <x:v>https://www.google.com/search?q=site%3Anps.gov%20John%20Day%20Fossil%20Beds%20National%20Monument</x:v>
      </x:c>
      <x:c r="N317" s="16" t="str">
        <x:v>https://www.google.com/maps/search/?api=1&amp;query=John%20Day%20Fossil%20Beds%20National%20Monument%2C%20Kimberly%2C%20Oregon</x:v>
      </x:c>
      <x:c r="O317" s="17" t="b">
        <x:v>1</x:v>
      </x:c>
      <x:c r="P317" s="16" t="b">
        <x:f>IFERROR(VLOOKUP(A317,States!$A$2:$B$18,2,FALSE),FALSE)</x:f>
        <x:v>1</x:v>
      </x:c>
      <x:c r="Q317" s="16" t="b">
        <x:f>AND(OR(O317=TRUE,O317="TRUE"),OR(P317=TRUE,P317="TRUE"))</x:f>
        <x:v>1</x:v>
      </x:c>
    </x:row>
    <x:row r="318">
      <x:c r="A318" s="16" t="str">
        <x:v>Oregon</x:v>
      </x:c>
      <x:c r="B318" s="16" t="str">
        <x:v>Bend</x:v>
      </x:c>
      <x:c r="C318" s="16" t="n">
        <x:v>-121.333</x:v>
      </x:c>
      <x:c r="D318" s="16" t="n">
        <x:v>44.017</x:v>
      </x:c>
      <x:c r="E318" s="16" t="str">
        <x:v>High Desert Museum</x:v>
      </x:c>
      <x:c r="F318" s="16" t="str">
        <x:v>Families, culture travelers</x:v>
      </x:c>
      <x:c r="G318" s="16" t="str">
        <x:v>Wildlife, history, and art explain the High Desert region.</x:v>
      </x:c>
      <x:c r="H318" s="16" t="str">
        <x:v>Museum</x:v>
      </x:c>
      <x:c r="I318" s="16" t="str">
        <x:v>https://www.google.com/search?q=High%20Desert%20Museum%20Bend%20Oregon%20official%20website</x:v>
      </x:c>
      <x:c r="J318" s="16" t="str">
        <x:v>https://www.google.com/search?q=site%3Atraveloregon.com%20High%20Desert%20Museum</x:v>
      </x:c>
      <x:c r="K318" s="16" t="str">
        <x:v>https://www.google.com/search?q=High%20Desert%20Museum%20Bend%20Oregon%20visitor%20information</x:v>
      </x:c>
      <x:c r="L318" s="16" t="str">
        <x:v>https://www.google.com/search?q=High%20Desert%20Museum%20Bend%20Oregon%20photos</x:v>
      </x:c>
      <x:c r="M318" s="16" t="str">
        <x:v>https://www.google.com/search?q=High%20Desert%20Museum%20Bend%20Oregon%20wikipedia%20OR%20wikivoyage</x:v>
      </x:c>
      <x:c r="N318" s="16" t="str">
        <x:v>https://www.google.com/maps/search/?api=1&amp;query=High%20Desert%20Museum%2C%20Bend%2C%20Oregon</x:v>
      </x:c>
      <x:c r="O318" s="17" t="b">
        <x:v>1</x:v>
      </x:c>
      <x:c r="P318" s="16" t="b">
        <x:f>IFERROR(VLOOKUP(A318,States!$A$2:$B$18,2,FALSE),FALSE)</x:f>
        <x:v>1</x:v>
      </x:c>
      <x:c r="Q318" s="16" t="b">
        <x:f>AND(OR(O318=TRUE,O318="TRUE"),OR(P318=TRUE,P318="TRUE"))</x:f>
        <x:v>1</x:v>
      </x:c>
    </x:row>
    <x:row r="319">
      <x:c r="A319" s="16" t="str">
        <x:v>Oregon</x:v>
      </x:c>
      <x:c r="B319" s="16" t="str">
        <x:v>Astoria</x:v>
      </x:c>
      <x:c r="C319" s="16" t="n">
        <x:v>-123.819</x:v>
      </x:c>
      <x:c r="D319" s="16" t="n">
        <x:v>46.181</x:v>
      </x:c>
      <x:c r="E319" s="16" t="str">
        <x:v>Astoria Column</x:v>
      </x:c>
      <x:c r="F319" s="16" t="str">
        <x:v>Families, photographers</x:v>
      </x:c>
      <x:c r="G319" s="16" t="str">
        <x:v>A hilltop tower gives broad Columbia River and coastal views.</x:v>
      </x:c>
      <x:c r="H319" s="16" t="str">
        <x:v>Landmark</x:v>
      </x:c>
      <x:c r="I319" s="16" t="str">
        <x:v>https://www.google.com/search?q=Astoria%20Column%20Astoria%20Oregon%20official%20website</x:v>
      </x:c>
      <x:c r="J319" s="16" t="str">
        <x:v>https://www.google.com/search?q=site%3Atraveloregon.com%20Astoria%20Column</x:v>
      </x:c>
      <x:c r="K319" s="16" t="str">
        <x:v>https://www.google.com/search?q=Astoria%20Column%20Astoria%20Oregon%20visitor%20information</x:v>
      </x:c>
      <x:c r="L319" s="16" t="str">
        <x:v>https://www.google.com/search?q=Astoria%20Column%20Astoria%20Oregon%20photos</x:v>
      </x:c>
      <x:c r="M319" s="16" t="str">
        <x:v>https://www.google.com/search?q=Astoria%20Column%20Astoria%20Oregon%20wikipedia%20OR%20wikivoyage</x:v>
      </x:c>
      <x:c r="N319" s="16" t="str">
        <x:v>https://www.google.com/maps/search/?api=1&amp;query=Astoria%20Column%2C%20Astoria%2C%20Oregon</x:v>
      </x:c>
      <x:c r="O319" s="17" t="b">
        <x:v>1</x:v>
      </x:c>
      <x:c r="P319" s="16" t="b">
        <x:f>IFERROR(VLOOKUP(A319,States!$A$2:$B$18,2,FALSE),FALSE)</x:f>
        <x:v>1</x:v>
      </x:c>
      <x:c r="Q319" s="16" t="b">
        <x:f>AND(OR(O319=TRUE,O319="TRUE"),OR(P319=TRUE,P319="TRUE"))</x:f>
        <x:v>1</x:v>
      </x:c>
    </x:row>
    <x:row r="320">
      <x:c r="A320" s="16" t="str">
        <x:v>Oregon</x:v>
      </x:c>
      <x:c r="B320" s="16" t="str">
        <x:v>Portland</x:v>
      </x:c>
      <x:c r="C320" s="16" t="n">
        <x:v>-122.715</x:v>
      </x:c>
      <x:c r="D320" s="16" t="n">
        <x:v>45.51</x:v>
      </x:c>
      <x:c r="E320" s="16" t="str">
        <x:v>Oregon Zoo and Washington Park</x:v>
      </x:c>
      <x:c r="F320" s="16" t="str">
        <x:v>Families, garden lovers</x:v>
      </x:c>
      <x:c r="G320" s="16" t="str">
        <x:v>Zoo, gardens, trails, and museums cluster in Portland's west hills.</x:v>
      </x:c>
      <x:c r="H320" s="16" t="str">
        <x:v>Zoo/Aquarium</x:v>
      </x:c>
      <x:c r="I320" s="16" t="str">
        <x:v>https://www.google.com/search?q=Oregon%20Zoo%20and%20Washington%20Park%20Portland%20Oregon%20official%20website</x:v>
      </x:c>
      <x:c r="J320" s="16" t="str">
        <x:v>https://www.google.com/search?q=site%3Atraveloregon.com%20Oregon%20Zoo%20and%20Washington%20Park</x:v>
      </x:c>
      <x:c r="K320" s="16" t="str">
        <x:v>https://www.google.com/search?q=Oregon%20Zoo%20and%20Washington%20Park%20Portland%20Oregon%20visitor%20information</x:v>
      </x:c>
      <x:c r="L320" s="16" t="str">
        <x:v>https://www.google.com/search?q=Oregon%20Zoo%20and%20Washington%20Park%20Portland%20Oregon%20photos</x:v>
      </x:c>
      <x:c r="M320" s="16" t="str">
        <x:v>https://www.google.com/search?q=Oregon%20Zoo%20and%20Washington%20Park%20Portland%20Oregon%20wikipedia%20OR%20wikivoyage</x:v>
      </x:c>
      <x:c r="N320" s="16" t="str">
        <x:v>https://www.google.com/maps/search/?api=1&amp;query=Oregon%20Zoo%20and%20Washington%20Park%2C%20Portland%2C%20Oregon</x:v>
      </x:c>
      <x:c r="O320" s="17" t="b">
        <x:v>1</x:v>
      </x:c>
      <x:c r="P320" s="16" t="b">
        <x:f>IFERROR(VLOOKUP(A320,States!$A$2:$B$18,2,FALSE),FALSE)</x:f>
        <x:v>1</x:v>
      </x:c>
      <x:c r="Q320" s="16" t="b">
        <x:f>AND(OR(O320=TRUE,O320="TRUE"),OR(P320=TRUE,P320="TRUE"))</x:f>
        <x:v>1</x:v>
      </x:c>
    </x:row>
    <x:row r="321">
      <x:c r="A321" s="16" t="str">
        <x:v>Oregon</x:v>
      </x:c>
      <x:c r="B321" s="16" t="str">
        <x:v>Joseph</x:v>
      </x:c>
      <x:c r="C321" s="16" t="n">
        <x:v>-117.211</x:v>
      </x:c>
      <x:c r="D321" s="16" t="n">
        <x:v>45.345</x:v>
      </x:c>
      <x:c r="E321" s="16" t="str">
        <x:v>Wallowa Lake and Hells Canyon Overlook</x:v>
      </x:c>
      <x:c r="F321" s="16" t="str">
        <x:v>Scenic drivers, hikers, families</x:v>
      </x:c>
      <x:c r="G321" s="16" t="str">
        <x:v>Alpine lake scenery and canyon viewpoints showcase far northeast Oregon.</x:v>
      </x:c>
      <x:c r="H321" s="16" t="str">
        <x:v>Nature</x:v>
      </x:c>
      <x:c r="I321" s="16" t="str">
        <x:v>https://www.google.com/search?q=Wallowa%20Lake%20and%20Hells%20Canyon%20Overlook%20Joseph%20Oregon%20official%20website</x:v>
      </x:c>
      <x:c r="J321" s="16" t="str">
        <x:v>https://www.google.com/search?q=site%3Atraveloregon.com%20Wallowa%20Lake%20and%20Hells%20Canyon%20Overlook</x:v>
      </x:c>
      <x:c r="K321" s="16" t="str">
        <x:v>https://www.google.com/search?q=Wallowa%20Lake%20and%20Hells%20Canyon%20Overlook%20Joseph%20Oregon%20visitor%20information</x:v>
      </x:c>
      <x:c r="L321" s="16" t="str">
        <x:v>https://www.google.com/search?q=Wallowa%20Lake%20and%20Hells%20Canyon%20Overlook%20Joseph%20Oregon%20photos</x:v>
      </x:c>
      <x:c r="M321" s="16" t="str">
        <x:v>https://www.google.com/search?q=Wallowa%20Lake%20and%20Hells%20Canyon%20Overlook%20Joseph%20Oregon%20wikipedia%20OR%20wikivoyage</x:v>
      </x:c>
      <x:c r="N321" s="16" t="str">
        <x:v>https://www.google.com/maps/search/?api=1&amp;query=Wallowa%20Lake%20and%20Hells%20Canyon%20Overlook%2C%20Joseph%2C%20Oregon</x:v>
      </x:c>
      <x:c r="O321" s="17" t="b">
        <x:v>1</x:v>
      </x:c>
      <x:c r="P321" s="16" t="b">
        <x:f>IFERROR(VLOOKUP(A321,States!$A$2:$B$18,2,FALSE),FALSE)</x:f>
        <x:v>1</x:v>
      </x:c>
      <x:c r="Q321" s="16" t="b">
        <x:f>AND(OR(O321=TRUE,O321="TRUE"),OR(P321=TRUE,P321="TRUE"))</x:f>
        <x:v>1</x:v>
      </x:c>
    </x:row>
    <x:row r="322">
      <x:c r="A322" s="16" t="str">
        <x:v>New York</x:v>
      </x:c>
      <x:c r="B322" s="16" t="str">
        <x:v>Buffalo</x:v>
      </x:c>
      <x:c r="C322" s="16" t="n">
        <x:v>-78.878</x:v>
      </x:c>
      <x:c r="D322" s="16" t="n">
        <x:v>42.886</x:v>
      </x:c>
      <x:c r="E322" s="16" t="str">
        <x:v>Buffalo AKG Art Museum</x:v>
      </x:c>
      <x:c r="F322" s="16" t="str">
        <x:v>Art lovers, architecture fans</x:v>
      </x:c>
      <x:c r="G322" s="16" t="str">
        <x:v>A major modern and contemporary collection adds a strong cultural stop near Niagara.</x:v>
      </x:c>
      <x:c r="H322" s="16" t="str">
        <x:v>Museum</x:v>
      </x:c>
      <x:c r="I322" s="16" t="str">
        <x:v>https://www.google.com/search?q=Buffalo%20AKG%20Art%20Museum%20Buffalo%20New%20York%20official%20website</x:v>
      </x:c>
      <x:c r="J322" s="16" t="str">
        <x:v>https://www.google.com/search?q=site%3Ailoveny.com%20Buffalo%20AKG%20Art%20Museum</x:v>
      </x:c>
      <x:c r="K322" s="16" t="str">
        <x:v>https://www.google.com/search?q=Buffalo%20AKG%20Art%20Museum%20Buffalo%20New%20York%20visitor%20information</x:v>
      </x:c>
      <x:c r="L322" s="16" t="str">
        <x:v>https://www.google.com/search?q=Buffalo%20AKG%20Art%20Museum%20Buffalo%20New%20York%20photos</x:v>
      </x:c>
      <x:c r="M322" s="16" t="str">
        <x:v>https://www.google.com/search?q=Buffalo%20AKG%20Art%20Museum%20Buffalo%20New%20York%20wikipedia%20OR%20wikivoyage</x:v>
      </x:c>
      <x:c r="N322" s="16" t="str">
        <x:v>https://www.google.com/maps/search/?api=1&amp;query=Buffalo%20AKG%20Art%20Museum%2C%20Buffalo%2C%20New%20York</x:v>
      </x:c>
      <x:c r="O322" s="17" t="b">
        <x:v>1</x:v>
      </x:c>
      <x:c r="P322" s="16" t="b">
        <x:f>IFERROR(VLOOKUP(A322,States!$A$2:$B$18,2,FALSE),FALSE)</x:f>
        <x:v>1</x:v>
      </x:c>
      <x:c r="Q322" s="16" t="b">
        <x:f>AND(OR(O322=TRUE,O322="TRUE"),OR(P322=TRUE,P322="TRUE"))</x:f>
        <x:v>1</x:v>
      </x:c>
    </x:row>
    <x:row r="323">
      <x:c r="A323" s="16" t="str">
        <x:v>New York</x:v>
      </x:c>
      <x:c r="B323" s="16" t="str">
        <x:v>Buffalo</x:v>
      </x:c>
      <x:c r="C323" s="16" t="n">
        <x:v>-78.878</x:v>
      </x:c>
      <x:c r="D323" s="16" t="n">
        <x:v>42.881</x:v>
      </x:c>
      <x:c r="E323" s="16" t="str">
        <x:v>Theodore Roosevelt Inaugural National Historic Site</x:v>
      </x:c>
      <x:c r="F323" s="16" t="str">
        <x:v>History buffs, families</x:v>
      </x:c>
      <x:c r="G323" s="16" t="str">
        <x:v>The preserved home interprets Roosevelt's unexpected 1901 inauguration.</x:v>
      </x:c>
      <x:c r="H323" s="16" t="str">
        <x:v>Historic Site</x:v>
      </x:c>
      <x:c r="I323" s="16" t="str">
        <x:v>https://www.google.com/search?q=Theodore%20Roosevelt%20Inaugural%20National%20Historic%20Site%20Buffalo%20New%20York%20official%20website</x:v>
      </x:c>
      <x:c r="J323" s="16" t="str">
        <x:v>https://www.google.com/search?q=site%3Ailoveny.com%20Theodore%20Roosevelt%20Inaugural%20National%20Historic%20Site</x:v>
      </x:c>
      <x:c r="K323" s="16" t="str">
        <x:v>https://www.google.com/search?q=Theodore%20Roosevelt%20Inaugural%20National%20Historic%20Site%20Buffalo%20New%20York%20visitor%20information</x:v>
      </x:c>
      <x:c r="L323" s="16" t="str">
        <x:v>https://www.google.com/search?q=Theodore%20Roosevelt%20Inaugural%20National%20Historic%20Site%20Buffalo%20New%20York%20photos</x:v>
      </x:c>
      <x:c r="M323" s="16" t="str">
        <x:v>https://www.google.com/search?q=Theodore%20Roosevelt%20Inaugural%20National%20Historic%20Site%20Buffalo%20New%20York%20wikipedia%20OR%20wikivoyage</x:v>
      </x:c>
      <x:c r="N323" s="16" t="str">
        <x:v>https://www.google.com/maps/search/?api=1&amp;query=Theodore%20Roosevelt%20Inaugural%20National%20Historic%20Site%2C%20Buffalo%2C%20New%20York</x:v>
      </x:c>
      <x:c r="O323" s="17" t="b">
        <x:v>1</x:v>
      </x:c>
      <x:c r="P323" s="16" t="b">
        <x:f>IFERROR(VLOOKUP(A323,States!$A$2:$B$18,2,FALSE),FALSE)</x:f>
        <x:v>1</x:v>
      </x:c>
      <x:c r="Q323" s="16" t="b">
        <x:f>AND(OR(O323=TRUE,O323="TRUE"),OR(P323=TRUE,P323="TRUE"))</x:f>
        <x:v>1</x:v>
      </x:c>
    </x:row>
    <x:row r="324">
      <x:c r="A324" s="16" t="str">
        <x:v>New York</x:v>
      </x:c>
      <x:c r="B324" s="16" t="str">
        <x:v>Buffalo</x:v>
      </x:c>
      <x:c r="C324" s="16" t="n">
        <x:v>-78.873</x:v>
      </x:c>
      <x:c r="D324" s="16" t="n">
        <x:v>42.933</x:v>
      </x:c>
      <x:c r="E324" s="16" t="str">
        <x:v>Frank Lloyd Wright's Martin House</x:v>
      </x:c>
      <x:c r="F324" s="16" t="str">
        <x:v>Architecture fans, design travelers</x:v>
      </x:c>
      <x:c r="G324" s="16" t="str">
        <x:v>A Prairie School masterpiece shows Wright's residential ideas in full.</x:v>
      </x:c>
      <x:c r="H324" s="16" t="str">
        <x:v>Architecture</x:v>
      </x:c>
      <x:c r="I324" s="16" t="str">
        <x:v>https://www.google.com/search?q=Frank%20Lloyd%20Wright's%20Martin%20House%20Buffalo%20New%20York%20official%20website</x:v>
      </x:c>
      <x:c r="J324" s="16" t="str">
        <x:v>https://www.google.com/search?q=site%3Ailoveny.com%20Frank%20Lloyd%20Wright's%20Martin%20House</x:v>
      </x:c>
      <x:c r="K324" s="16" t="str">
        <x:v>https://www.google.com/search?q=Frank%20Lloyd%20Wright's%20Martin%20House%20Buffalo%20New%20York%20visitor%20information</x:v>
      </x:c>
      <x:c r="L324" s="16" t="str">
        <x:v>https://www.google.com/search?q=Frank%20Lloyd%20Wright's%20Martin%20House%20Buffalo%20New%20York%20photos</x:v>
      </x:c>
      <x:c r="M324" s="16" t="str">
        <x:v>https://www.google.com/search?q=Frank%20Lloyd%20Wright's%20Martin%20House%20Buffalo%20New%20York%20wikipedia%20OR%20wikivoyage</x:v>
      </x:c>
      <x:c r="N324" s="16" t="str">
        <x:v>https://www.google.com/maps/search/?api=1&amp;query=Frank%20Lloyd%20Wright's%20Martin%20House%2C%20Buffalo%2C%20New%20York</x:v>
      </x:c>
      <x:c r="O324" s="17" t="b">
        <x:v>1</x:v>
      </x:c>
      <x:c r="P324" s="16" t="b">
        <x:f>IFERROR(VLOOKUP(A324,States!$A$2:$B$18,2,FALSE),FALSE)</x:f>
        <x:v>1</x:v>
      </x:c>
      <x:c r="Q324" s="16" t="b">
        <x:f>AND(OR(O324=TRUE,O324="TRUE"),OR(P324=TRUE,P324="TRUE"))</x:f>
        <x:v>1</x:v>
      </x:c>
    </x:row>
    <x:row r="325">
      <x:c r="A325" s="16" t="str">
        <x:v>New York</x:v>
      </x:c>
      <x:c r="B325" s="16" t="str">
        <x:v>Buffalo</x:v>
      </x:c>
      <x:c r="C325" s="16" t="n">
        <x:v>-78.849</x:v>
      </x:c>
      <x:c r="D325" s="16" t="n">
        <x:v>42.881</x:v>
      </x:c>
      <x:c r="E325" s="16" t="str">
        <x:v>Buffalo and Erie County Naval and Military Park</x:v>
      </x:c>
      <x:c r="F325" s="16" t="str">
        <x:v>Military-history fans, families</x:v>
      </x:c>
      <x:c r="G325" s="16" t="str">
        <x:v>Ships and exhibits bring naval history onto Buffalo's waterfront.</x:v>
      </x:c>
      <x:c r="H325" s="16" t="str">
        <x:v>Museum</x:v>
      </x:c>
      <x:c r="I325" s="16" t="str">
        <x:v>https://www.google.com/search?q=Buffalo%20and%20Erie%20County%20Naval%20and%20Military%20Park%20Buffalo%20New%20York%20official%20website</x:v>
      </x:c>
      <x:c r="J325" s="16" t="str">
        <x:v>https://www.google.com/search?q=site%3Ailoveny.com%20Buffalo%20and%20Erie%20County%20Naval%20and%20Military%20Park</x:v>
      </x:c>
      <x:c r="K325" s="16" t="str">
        <x:v>https://www.google.com/search?q=Buffalo%20and%20Erie%20County%20Naval%20and%20Military%20Park%20Buffalo%20New%20York%20visitor%20information</x:v>
      </x:c>
      <x:c r="L325" s="16" t="str">
        <x:v>https://www.google.com/search?q=Buffalo%20and%20Erie%20County%20Naval%20and%20Military%20Park%20Buffalo%20New%20York%20photos</x:v>
      </x:c>
      <x:c r="M325" s="16" t="str">
        <x:v>https://www.google.com/search?q=Buffalo%20and%20Erie%20County%20Naval%20and%20Military%20Park%20Buffalo%20New%20York%20wikipedia%20OR%20wikivoyage</x:v>
      </x:c>
      <x:c r="N325" s="16" t="str">
        <x:v>https://www.google.com/maps/search/?api=1&amp;query=Buffalo%20and%20Erie%20County%20Naval%20and%20Military%20Park%2C%20Buffalo%2C%20New%20York</x:v>
      </x:c>
      <x:c r="O325" s="17" t="b">
        <x:v>1</x:v>
      </x:c>
      <x:c r="P325" s="16" t="b">
        <x:f>IFERROR(VLOOKUP(A325,States!$A$2:$B$18,2,FALSE),FALSE)</x:f>
        <x:v>1</x:v>
      </x:c>
      <x:c r="Q325" s="16" t="b">
        <x:f>AND(OR(O325=TRUE,O325="TRUE"),OR(P325=TRUE,P325="TRUE"))</x:f>
        <x:v>1</x:v>
      </x:c>
    </x:row>
    <x:row r="326">
      <x:c r="A326" s="16" t="str">
        <x:v>New York</x:v>
      </x:c>
      <x:c r="B326" s="16" t="str">
        <x:v>Rochester</x:v>
      </x:c>
      <x:c r="C326" s="16" t="n">
        <x:v>-77.589</x:v>
      </x:c>
      <x:c r="D326" s="16" t="n">
        <x:v>43.143</x:v>
      </x:c>
      <x:c r="E326" s="16" t="str">
        <x:v>Memorial Art Gallery</x:v>
      </x:c>
      <x:c r="F326" s="16" t="str">
        <x:v>Art lovers, families</x:v>
      </x:c>
      <x:c r="G326" s="16" t="str">
        <x:v>A compact but rich regional art museum makes an easy Rochester stop.</x:v>
      </x:c>
      <x:c r="H326" s="16" t="str">
        <x:v>Museum</x:v>
      </x:c>
      <x:c r="I326" s="16" t="str">
        <x:v>https://www.google.com/search?q=Memorial%20Art%20Gallery%20Rochester%20New%20York%20official%20website</x:v>
      </x:c>
      <x:c r="J326" s="16" t="str">
        <x:v>https://www.google.com/search?q=site%3Ailoveny.com%20Memorial%20Art%20Gallery</x:v>
      </x:c>
      <x:c r="K326" s="16" t="str">
        <x:v>https://www.google.com/search?q=Memorial%20Art%20Gallery%20Rochester%20New%20York%20visitor%20information</x:v>
      </x:c>
      <x:c r="L326" s="16" t="str">
        <x:v>https://www.google.com/search?q=Memorial%20Art%20Gallery%20Rochester%20New%20York%20photos</x:v>
      </x:c>
      <x:c r="M326" s="16" t="str">
        <x:v>https://www.google.com/search?q=Memorial%20Art%20Gallery%20Rochester%20New%20York%20wikipedia%20OR%20wikivoyage</x:v>
      </x:c>
      <x:c r="N326" s="16" t="str">
        <x:v>https://www.google.com/maps/search/?api=1&amp;query=Memorial%20Art%20Gallery%2C%20Rochester%2C%20New%20York</x:v>
      </x:c>
      <x:c r="O326" s="17" t="b">
        <x:v>1</x:v>
      </x:c>
      <x:c r="P326" s="16" t="b">
        <x:f>IFERROR(VLOOKUP(A326,States!$A$2:$B$18,2,FALSE),FALSE)</x:f>
        <x:v>1</x:v>
      </x:c>
      <x:c r="Q326" s="16" t="b">
        <x:f>AND(OR(O326=TRUE,O326="TRUE"),OR(P326=TRUE,P326="TRUE"))</x:f>
        <x:v>1</x:v>
      </x:c>
    </x:row>
    <x:row r="327">
      <x:c r="A327" s="16" t="str">
        <x:v>New York</x:v>
      </x:c>
      <x:c r="B327" s="16" t="str">
        <x:v>Rochester</x:v>
      </x:c>
      <x:c r="C327" s="16" t="n">
        <x:v>-77.612</x:v>
      </x:c>
      <x:c r="D327" s="16" t="n">
        <x:v>43.136</x:v>
      </x:c>
      <x:c r="E327" s="16" t="str">
        <x:v>Highland Park</x:v>
      </x:c>
      <x:c r="F327" s="16" t="str">
        <x:v>Families, garden lovers</x:v>
      </x:c>
      <x:c r="G327" s="16" t="str">
        <x:v>Olmsted-designed parkland and lilacs create a relaxed city-nature stop.</x:v>
      </x:c>
      <x:c r="H327" s="16" t="str">
        <x:v>Garden</x:v>
      </x:c>
      <x:c r="I327" s="16" t="str">
        <x:v>https://www.google.com/search?q=Highland%20Park%20Rochester%20New%20York%20official%20website</x:v>
      </x:c>
      <x:c r="J327" s="16" t="str">
        <x:v>https://www.google.com/search?q=site%3Ailoveny.com%20Highland%20Park</x:v>
      </x:c>
      <x:c r="K327" s="16" t="str">
        <x:v>https://www.google.com/search?q=Highland%20Park%20Rochester%20New%20York%20visitor%20information</x:v>
      </x:c>
      <x:c r="L327" s="16" t="str">
        <x:v>https://www.google.com/search?q=Highland%20Park%20Rochester%20New%20York%20photos</x:v>
      </x:c>
      <x:c r="M327" s="16" t="str">
        <x:v>https://www.google.com/search?q=Highland%20Park%20Rochester%20New%20York%20wikipedia%20OR%20wikivoyage</x:v>
      </x:c>
      <x:c r="N327" s="16" t="str">
        <x:v>https://www.google.com/maps/search/?api=1&amp;query=Highland%20Park%2C%20Rochester%2C%20New%20York</x:v>
      </x:c>
      <x:c r="O327" s="17" t="b">
        <x:v>1</x:v>
      </x:c>
      <x:c r="P327" s="16" t="b">
        <x:f>IFERROR(VLOOKUP(A327,States!$A$2:$B$18,2,FALSE),FALSE)</x:f>
        <x:v>1</x:v>
      </x:c>
      <x:c r="Q327" s="16" t="b">
        <x:f>AND(OR(O327=TRUE,O327="TRUE"),OR(P327=TRUE,P327="TRUE"))</x:f>
        <x:v>1</x:v>
      </x:c>
    </x:row>
    <x:row r="328">
      <x:c r="A328" s="16" t="str">
        <x:v>New York</x:v>
      </x:c>
      <x:c r="B328" s="16" t="str">
        <x:v>Auburn</x:v>
      </x:c>
      <x:c r="C328" s="16" t="n">
        <x:v>-76.567</x:v>
      </x:c>
      <x:c r="D328" s="16" t="n">
        <x:v>42.932</x:v>
      </x:c>
      <x:c r="E328" s="16" t="str">
        <x:v>Harriet Tubman National Historical Park</x:v>
      </x:c>
      <x:c r="F328" s="16" t="str">
        <x:v>History travelers, students</x:v>
      </x:c>
      <x:c r="G328" s="16" t="str">
        <x:v>Tubman's home and church connect abolition history to a real landscape.</x:v>
      </x:c>
      <x:c r="H328" s="16" t="str">
        <x:v>Historic Site</x:v>
      </x:c>
      <x:c r="I328" s="16" t="str">
        <x:v>https://www.google.com/search?q=Harriet%20Tubman%20National%20Historical%20Park%20Auburn%20New%20York%20official%20website</x:v>
      </x:c>
      <x:c r="J328" s="16" t="str">
        <x:v>https://www.google.com/search?q=site%3Ailoveny.com%20Harriet%20Tubman%20National%20Historical%20Park</x:v>
      </x:c>
      <x:c r="K328" s="16" t="str">
        <x:v>https://www.google.com/search?q=Harriet%20Tubman%20National%20Historical%20Park%20Auburn%20New%20York%20visitor%20information</x:v>
      </x:c>
      <x:c r="L328" s="16" t="str">
        <x:v>https://www.google.com/search?q=Harriet%20Tubman%20National%20Historical%20Park%20Auburn%20New%20York%20photos</x:v>
      </x:c>
      <x:c r="M328" s="16" t="str">
        <x:v>https://www.google.com/search?q=Harriet%20Tubman%20National%20Historical%20Park%20Auburn%20New%20York%20wikipedia%20OR%20wikivoyage</x:v>
      </x:c>
      <x:c r="N328" s="16" t="str">
        <x:v>https://www.google.com/maps/search/?api=1&amp;query=Harriet%20Tubman%20National%20Historical%20Park%2C%20Auburn%2C%20New%20York</x:v>
      </x:c>
      <x:c r="O328" s="17" t="b">
        <x:v>1</x:v>
      </x:c>
      <x:c r="P328" s="16" t="b">
        <x:f>IFERROR(VLOOKUP(A328,States!$A$2:$B$18,2,FALSE),FALSE)</x:f>
        <x:v>1</x:v>
      </x:c>
      <x:c r="Q328" s="16" t="b">
        <x:f>AND(OR(O328=TRUE,O328="TRUE"),OR(P328=TRUE,P328="TRUE"))</x:f>
        <x:v>1</x:v>
      </x:c>
    </x:row>
    <x:row r="329">
      <x:c r="A329" s="16" t="str">
        <x:v>New York</x:v>
      </x:c>
      <x:c r="B329" s="16" t="str">
        <x:v>Canandaigua</x:v>
      </x:c>
      <x:c r="C329" s="16" t="n">
        <x:v>-77.28</x:v>
      </x:c>
      <x:c r="D329" s="16" t="n">
        <x:v>42.888</x:v>
      </x:c>
      <x:c r="E329" s="16" t="str">
        <x:v>Sonnenberg Gardens and Mansion</x:v>
      </x:c>
      <x:c r="F329" s="16" t="str">
        <x:v>Garden lovers, architecture fans</x:v>
      </x:c>
      <x:c r="G329" s="16" t="str">
        <x:v>Formal gardens and a historic mansion add Finger Lakes elegance.</x:v>
      </x:c>
      <x:c r="H329" s="16" t="str">
        <x:v>Garden</x:v>
      </x:c>
      <x:c r="I329" s="16" t="str">
        <x:v>https://www.google.com/search?q=Sonnenberg%20Gardens%20and%20Mansion%20Canandaigua%20New%20York%20official%20website</x:v>
      </x:c>
      <x:c r="J329" s="16" t="str">
        <x:v>https://www.google.com/search?q=site%3Ailoveny.com%20Sonnenberg%20Gardens%20and%20Mansion</x:v>
      </x:c>
      <x:c r="K329" s="16" t="str">
        <x:v>https://www.google.com/search?q=Sonnenberg%20Gardens%20and%20Mansion%20Canandaigua%20New%20York%20visitor%20information</x:v>
      </x:c>
      <x:c r="L329" s="16" t="str">
        <x:v>https://www.google.com/search?q=Sonnenberg%20Gardens%20and%20Mansion%20Canandaigua%20New%20York%20photos</x:v>
      </x:c>
      <x:c r="M329" s="16" t="str">
        <x:v>https://www.google.com/search?q=Sonnenberg%20Gardens%20and%20Mansion%20Canandaigua%20New%20York%20wikipedia%20OR%20wikivoyage</x:v>
      </x:c>
      <x:c r="N329" s="16" t="str">
        <x:v>https://www.google.com/maps/search/?api=1&amp;query=Sonnenberg%20Gardens%20and%20Mansion%2C%20Canandaigua%2C%20New%20York</x:v>
      </x:c>
      <x:c r="O329" s="17" t="b">
        <x:v>1</x:v>
      </x:c>
      <x:c r="P329" s="16" t="b">
        <x:f>IFERROR(VLOOKUP(A329,States!$A$2:$B$18,2,FALSE),FALSE)</x:f>
        <x:v>1</x:v>
      </x:c>
      <x:c r="Q329" s="16" t="b">
        <x:f>AND(OR(O329=TRUE,O329="TRUE"),OR(P329=TRUE,P329="TRUE"))</x:f>
        <x:v>1</x:v>
      </x:c>
    </x:row>
    <x:row r="330">
      <x:c r="A330" s="16" t="str">
        <x:v>New York</x:v>
      </x:c>
      <x:c r="B330" s="16" t="str">
        <x:v>Skaneateles</x:v>
      </x:c>
      <x:c r="C330" s="16" t="n">
        <x:v>-76.429</x:v>
      </x:c>
      <x:c r="D330" s="16" t="n">
        <x:v>42.947</x:v>
      </x:c>
      <x:c r="E330" s="16" t="str">
        <x:v>Skaneateles Lake</x:v>
      </x:c>
      <x:c r="F330" s="16" t="str">
        <x:v>Couples, scenic drivers, families</x:v>
      </x:c>
      <x:c r="G330" s="16" t="str">
        <x:v>Clear water, village streets, and boat cruises make a polished lake stop.</x:v>
      </x:c>
      <x:c r="H330" s="16" t="str">
        <x:v>Waterfront</x:v>
      </x:c>
      <x:c r="I330" s="16" t="str">
        <x:v>https://www.google.com/search?q=Skaneateles%20Lake%20Skaneateles%20New%20York%20official%20website</x:v>
      </x:c>
      <x:c r="J330" s="16" t="str">
        <x:v>https://www.google.com/search?q=site%3Ailoveny.com%20Skaneateles%20Lake</x:v>
      </x:c>
      <x:c r="K330" s="16" t="str">
        <x:v>https://www.google.com/search?q=Skaneateles%20Lake%20Skaneateles%20New%20York%20visitor%20information</x:v>
      </x:c>
      <x:c r="L330" s="16" t="str">
        <x:v>https://www.google.com/search?q=Skaneateles%20Lake%20Skaneateles%20New%20York%20photos</x:v>
      </x:c>
      <x:c r="M330" s="16" t="str">
        <x:v>https://www.google.com/search?q=Skaneateles%20Lake%20Skaneateles%20New%20York%20wikipedia%20OR%20wikivoyage</x:v>
      </x:c>
      <x:c r="N330" s="16" t="str">
        <x:v>https://www.google.com/maps/search/?api=1&amp;query=Skaneateles%20Lake%2C%20Skaneateles%2C%20New%20York</x:v>
      </x:c>
      <x:c r="O330" s="17" t="b">
        <x:v>1</x:v>
      </x:c>
      <x:c r="P330" s="16" t="b">
        <x:f>IFERROR(VLOOKUP(A330,States!$A$2:$B$18,2,FALSE),FALSE)</x:f>
        <x:v>1</x:v>
      </x:c>
      <x:c r="Q330" s="16" t="b">
        <x:f>AND(OR(O330=TRUE,O330="TRUE"),OR(P330=TRUE,P330="TRUE"))</x:f>
        <x:v>1</x:v>
      </x:c>
    </x:row>
    <x:row r="331">
      <x:c r="A331" s="16" t="str">
        <x:v>New York</x:v>
      </x:c>
      <x:c r="B331" s="16" t="str">
        <x:v>Albany</x:v>
      </x:c>
      <x:c r="C331" s="16" t="n">
        <x:v>-73.761</x:v>
      </x:c>
      <x:c r="D331" s="16" t="n">
        <x:v>42.652</x:v>
      </x:c>
      <x:c r="E331" s="16" t="str">
        <x:v>New York State Capitol and Empire State Plaza</x:v>
      </x:c>
      <x:c r="F331" s="16" t="str">
        <x:v>Architecture fans, history travelers</x:v>
      </x:c>
      <x:c r="G331" s="16" t="str">
        <x:v>Monumental civic architecture and museums anchor the state capital.</x:v>
      </x:c>
      <x:c r="H331" s="16" t="str">
        <x:v>Architecture</x:v>
      </x:c>
      <x:c r="I331" s="16" t="str">
        <x:v>https://www.google.com/search?q=New%20York%20State%20Capitol%20and%20Empire%20State%20Plaza%20Albany%20New%20York%20official%20website</x:v>
      </x:c>
      <x:c r="J331" s="16" t="str">
        <x:v>https://www.google.com/search?q=site%3Ailoveny.com%20New%20York%20State%20Capitol%20and%20Empire%20State%20Plaza</x:v>
      </x:c>
      <x:c r="K331" s="16" t="str">
        <x:v>https://www.google.com/search?q=New%20York%20State%20Capitol%20and%20Empire%20State%20Plaza%20Albany%20New%20York%20visitor%20information</x:v>
      </x:c>
      <x:c r="L331" s="16" t="str">
        <x:v>https://www.google.com/search?q=New%20York%20State%20Capitol%20and%20Empire%20State%20Plaza%20Albany%20New%20York%20photos</x:v>
      </x:c>
      <x:c r="M331" s="16" t="str">
        <x:v>https://www.google.com/search?q=New%20York%20State%20Capitol%20and%20Empire%20State%20Plaza%20Albany%20New%20York%20wikipedia%20OR%20wikivoyage</x:v>
      </x:c>
      <x:c r="N331" s="16" t="str">
        <x:v>https://www.google.com/maps/search/?api=1&amp;query=New%20York%20State%20Capitol%20and%20Empire%20State%20Plaza%2C%20Albany%2C%20New%20York</x:v>
      </x:c>
      <x:c r="O331" s="17" t="b">
        <x:v>1</x:v>
      </x:c>
      <x:c r="P331" s="16" t="b">
        <x:f>IFERROR(VLOOKUP(A331,States!$A$2:$B$18,2,FALSE),FALSE)</x:f>
        <x:v>1</x:v>
      </x:c>
      <x:c r="Q331" s="16" t="b">
        <x:f>AND(OR(O331=TRUE,O331="TRUE"),OR(P331=TRUE,P331="TRUE"))</x:f>
        <x:v>1</x:v>
      </x:c>
    </x:row>
    <x:row r="332">
      <x:c r="A332" s="16" t="str">
        <x:v>Pennsylvania</x:v>
      </x:c>
      <x:c r="B332" s="16" t="str">
        <x:v>Scranton</x:v>
      </x:c>
      <x:c r="C332" s="16" t="n">
        <x:v>-75.671</x:v>
      </x:c>
      <x:c r="D332" s="16" t="n">
        <x:v>41.411</x:v>
      </x:c>
      <x:c r="E332" s="16" t="str">
        <x:v>Steamtown National Historic Site</x:v>
      </x:c>
      <x:c r="F332" s="16" t="str">
        <x:v>Train fans, families</x:v>
      </x:c>
      <x:c r="G332" s="16" t="str">
        <x:v>Historic locomotives and rail yards tell America's steam-rail story.</x:v>
      </x:c>
      <x:c r="H332" s="16" t="str">
        <x:v>Historic Site</x:v>
      </x:c>
      <x:c r="I332" s="16" t="str">
        <x:v>https://www.google.com/search?q=Steamtown%20National%20Historic%20Site%20Scranton%20Pennsylvania%20official%20website</x:v>
      </x:c>
      <x:c r="J332" s="16" t="str">
        <x:v>https://www.google.com/search?q=site%3Avisitpa.com%20Steamtown%20National%20Historic%20Site</x:v>
      </x:c>
      <x:c r="K332" s="16" t="str">
        <x:v>https://www.google.com/search?q=Steamtown%20National%20Historic%20Site%20Scranton%20Pennsylvania%20visitor%20information</x:v>
      </x:c>
      <x:c r="L332" s="16" t="str">
        <x:v>https://www.google.com/search?q=Steamtown%20National%20Historic%20Site%20Scranton%20Pennsylvania%20photos</x:v>
      </x:c>
      <x:c r="M332" s="16" t="str">
        <x:v>https://www.google.com/search?q=Steamtown%20National%20Historic%20Site%20Scranton%20Pennsylvania%20wikipedia%20OR%20wikivoyage</x:v>
      </x:c>
      <x:c r="N332" s="16" t="str">
        <x:v>https://www.google.com/maps/search/?api=1&amp;query=Steamtown%20National%20Historic%20Site%2C%20Scranton%2C%20Pennsylvania</x:v>
      </x:c>
      <x:c r="O332" s="17" t="b">
        <x:v>1</x:v>
      </x:c>
      <x:c r="P332" s="16" t="b">
        <x:f>IFERROR(VLOOKUP(A332,States!$A$2:$B$18,2,FALSE),FALSE)</x:f>
        <x:v>1</x:v>
      </x:c>
      <x:c r="Q332" s="16" t="b">
        <x:f>AND(OR(O332=TRUE,O332="TRUE"),OR(P332=TRUE,P332="TRUE"))</x:f>
        <x:v>1</x:v>
      </x:c>
    </x:row>
    <x:row r="333">
      <x:c r="A333" s="16" t="str">
        <x:v>Pennsylvania</x:v>
      </x:c>
      <x:c r="B333" s="16" t="str">
        <x:v>Jim Thorpe</x:v>
      </x:c>
      <x:c r="C333" s="16" t="n">
        <x:v>-75.737</x:v>
      </x:c>
      <x:c r="D333" s="16" t="n">
        <x:v>40.875</x:v>
      </x:c>
      <x:c r="E333" s="16" t="str">
        <x:v>Lehigh Gorge Scenic Railway</x:v>
      </x:c>
      <x:c r="F333" s="16" t="str">
        <x:v>Families, train fans, leaf peepers</x:v>
      </x:c>
      <x:c r="G333" s="16" t="str">
        <x:v>A heritage train follows river gorge scenery in the Poconos.</x:v>
      </x:c>
      <x:c r="H333" s="16" t="str">
        <x:v>Scenic Railway</x:v>
      </x:c>
      <x:c r="I333" s="16" t="str">
        <x:v>https://www.google.com/search?q=Lehigh%20Gorge%20Scenic%20Railway%20Jim%20Thorpe%20Pennsylvania%20official%20website</x:v>
      </x:c>
      <x:c r="J333" s="16" t="str">
        <x:v>https://www.google.com/search?q=site%3Avisitpa.com%20Lehigh%20Gorge%20Scenic%20Railway</x:v>
      </x:c>
      <x:c r="K333" s="16" t="str">
        <x:v>https://www.google.com/search?q=Lehigh%20Gorge%20Scenic%20Railway%20Jim%20Thorpe%20Pennsylvania%20visitor%20information</x:v>
      </x:c>
      <x:c r="L333" s="16" t="str">
        <x:v>https://www.google.com/search?q=Lehigh%20Gorge%20Scenic%20Railway%20Jim%20Thorpe%20Pennsylvania%20photos</x:v>
      </x:c>
      <x:c r="M333" s="16" t="str">
        <x:v>https://www.google.com/search?q=Lehigh%20Gorge%20Scenic%20Railway%20Jim%20Thorpe%20Pennsylvania%20wikipedia%20OR%20wikivoyage</x:v>
      </x:c>
      <x:c r="N333" s="16" t="str">
        <x:v>https://www.google.com/maps/search/?api=1&amp;query=Lehigh%20Gorge%20Scenic%20Railway%2C%20Jim%20Thorpe%2C%20Pennsylvania</x:v>
      </x:c>
      <x:c r="O333" s="17" t="b">
        <x:v>1</x:v>
      </x:c>
      <x:c r="P333" s="16" t="b">
        <x:f>IFERROR(VLOOKUP(A333,States!$A$2:$B$18,2,FALSE),FALSE)</x:f>
        <x:v>1</x:v>
      </x:c>
      <x:c r="Q333" s="16" t="b">
        <x:f>AND(OR(O333=TRUE,O333="TRUE"),OR(P333=TRUE,P333="TRUE"))</x:f>
        <x:v>1</x:v>
      </x:c>
    </x:row>
    <x:row r="334">
      <x:c r="A334" s="16" t="str">
        <x:v>Pennsylvania</x:v>
      </x:c>
      <x:c r="B334" s="16" t="str">
        <x:v>Jim Thorpe</x:v>
      </x:c>
      <x:c r="C334" s="16" t="n">
        <x:v>-75.732</x:v>
      </x:c>
      <x:c r="D334" s="16" t="n">
        <x:v>40.864</x:v>
      </x:c>
      <x:c r="E334" s="16" t="str">
        <x:v>Jim Thorpe Historic District</x:v>
      </x:c>
      <x:c r="F334" s="16" t="str">
        <x:v>Couples, scenic drivers, history fans</x:v>
      </x:c>
      <x:c r="G334" s="16" t="str">
        <x:v>A mountain town of Victorian streets, rail history, and gorge access.</x:v>
      </x:c>
      <x:c r="H334" s="16" t="str">
        <x:v>Scenic Town</x:v>
      </x:c>
      <x:c r="I334" s="16" t="str">
        <x:v>https://www.google.com/search?q=Jim%20Thorpe%20Historic%20District%20Jim%20Thorpe%20Pennsylvania%20official%20website</x:v>
      </x:c>
      <x:c r="J334" s="16" t="str">
        <x:v>https://www.google.com/search?q=site%3Avisitpa.com%20Jim%20Thorpe%20Historic%20District</x:v>
      </x:c>
      <x:c r="K334" s="16" t="str">
        <x:v>https://www.google.com/search?q=Jim%20Thorpe%20Historic%20District%20Jim%20Thorpe%20Pennsylvania%20visitor%20information</x:v>
      </x:c>
      <x:c r="L334" s="16" t="str">
        <x:v>https://www.google.com/search?q=Jim%20Thorpe%20Historic%20District%20Jim%20Thorpe%20Pennsylvania%20photos</x:v>
      </x:c>
      <x:c r="M334" s="16" t="str">
        <x:v>https://www.google.com/search?q=Jim%20Thorpe%20Historic%20District%20Jim%20Thorpe%20Pennsylvania%20wikipedia%20OR%20wikivoyage</x:v>
      </x:c>
      <x:c r="N334" s="16" t="str">
        <x:v>https://www.google.com/maps/search/?api=1&amp;query=Jim%20Thorpe%20Historic%20District%2C%20Jim%20Thorpe%2C%20Pennsylvania</x:v>
      </x:c>
      <x:c r="O334" s="17" t="b">
        <x:v>1</x:v>
      </x:c>
      <x:c r="P334" s="16" t="b">
        <x:f>IFERROR(VLOOKUP(A334,States!$A$2:$B$18,2,FALSE),FALSE)</x:f>
        <x:v>1</x:v>
      </x:c>
      <x:c r="Q334" s="16" t="b">
        <x:f>AND(OR(O334=TRUE,O334="TRUE"),OR(P334=TRUE,P334="TRUE"))</x:f>
        <x:v>1</x:v>
      </x:c>
    </x:row>
    <x:row r="335">
      <x:c r="A335" s="16" t="str">
        <x:v>Pennsylvania</x:v>
      </x:c>
      <x:c r="B335" s="16" t="str">
        <x:v>Harrisburg</x:v>
      </x:c>
      <x:c r="C335" s="16" t="n">
        <x:v>-76.884</x:v>
      </x:c>
      <x:c r="D335" s="16" t="n">
        <x:v>40.265</x:v>
      </x:c>
      <x:c r="E335" s="16" t="str">
        <x:v>National Civil War Museum</x:v>
      </x:c>
      <x:c r="F335" s="16" t="str">
        <x:v>History buffs, families</x:v>
      </x:c>
      <x:c r="G335" s="16" t="str">
        <x:v>Balanced exhibits explain the Civil War through military and civilian stories.</x:v>
      </x:c>
      <x:c r="H335" s="16" t="str">
        <x:v>Museum</x:v>
      </x:c>
      <x:c r="I335" s="16" t="str">
        <x:v>https://www.google.com/search?q=National%20Civil%20War%20Museum%20Harrisburg%20Pennsylvania%20official%20website</x:v>
      </x:c>
      <x:c r="J335" s="16" t="str">
        <x:v>https://www.google.com/search?q=site%3Avisitpa.com%20National%20Civil%20War%20Museum</x:v>
      </x:c>
      <x:c r="K335" s="16" t="str">
        <x:v>https://www.google.com/search?q=National%20Civil%20War%20Museum%20Harrisburg%20Pennsylvania%20visitor%20information</x:v>
      </x:c>
      <x:c r="L335" s="16" t="str">
        <x:v>https://www.google.com/search?q=National%20Civil%20War%20Museum%20Harrisburg%20Pennsylvania%20photos</x:v>
      </x:c>
      <x:c r="M335" s="16" t="str">
        <x:v>https://www.google.com/search?q=National%20Civil%20War%20Museum%20Harrisburg%20Pennsylvania%20wikipedia%20OR%20wikivoyage</x:v>
      </x:c>
      <x:c r="N335" s="16" t="str">
        <x:v>https://www.google.com/maps/search/?api=1&amp;query=National%20Civil%20War%20Museum%2C%20Harrisburg%2C%20Pennsylvania</x:v>
      </x:c>
      <x:c r="O335" s="17" t="b">
        <x:v>1</x:v>
      </x:c>
      <x:c r="P335" s="16" t="b">
        <x:f>IFERROR(VLOOKUP(A335,States!$A$2:$B$18,2,FALSE),FALSE)</x:f>
        <x:v>1</x:v>
      </x:c>
      <x:c r="Q335" s="16" t="b">
        <x:f>AND(OR(O335=TRUE,O335="TRUE"),OR(P335=TRUE,P335="TRUE"))</x:f>
        <x:v>1</x:v>
      </x:c>
    </x:row>
    <x:row r="336">
      <x:c r="A336" s="16" t="str">
        <x:v>Pennsylvania</x:v>
      </x:c>
      <x:c r="B336" s="16" t="str">
        <x:v>Harrisburg</x:v>
      </x:c>
      <x:c r="C336" s="16" t="n">
        <x:v>-76.883</x:v>
      </x:c>
      <x:c r="D336" s="16" t="n">
        <x:v>40.265</x:v>
      </x:c>
      <x:c r="E336" s="16" t="str">
        <x:v>Pennsylvania State Capitol</x:v>
      </x:c>
      <x:c r="F336" s="16" t="str">
        <x:v>Architecture fans, history travelers</x:v>
      </x:c>
      <x:c r="G336" s="16" t="str">
        <x:v>The ornate capitol is a surprisingly rich civic-architecture stop.</x:v>
      </x:c>
      <x:c r="H336" s="16" t="str">
        <x:v>Architecture</x:v>
      </x:c>
      <x:c r="I336" s="16" t="str">
        <x:v>https://www.google.com/search?q=Pennsylvania%20State%20Capitol%20Harrisburg%20Pennsylvania%20official%20website</x:v>
      </x:c>
      <x:c r="J336" s="16" t="str">
        <x:v>https://www.google.com/search?q=site%3Avisitpa.com%20Pennsylvania%20State%20Capitol</x:v>
      </x:c>
      <x:c r="K336" s="16" t="str">
        <x:v>https://www.google.com/search?q=Pennsylvania%20State%20Capitol%20Harrisburg%20Pennsylvania%20visitor%20information</x:v>
      </x:c>
      <x:c r="L336" s="16" t="str">
        <x:v>https://www.google.com/search?q=Pennsylvania%20State%20Capitol%20Harrisburg%20Pennsylvania%20photos</x:v>
      </x:c>
      <x:c r="M336" s="16" t="str">
        <x:v>https://www.google.com/search?q=Pennsylvania%20State%20Capitol%20Harrisburg%20Pennsylvania%20wikipedia%20OR%20wikivoyage</x:v>
      </x:c>
      <x:c r="N336" s="16" t="str">
        <x:v>https://www.google.com/maps/search/?api=1&amp;query=Pennsylvania%20State%20Capitol%2C%20Harrisburg%2C%20Pennsylvania</x:v>
      </x:c>
      <x:c r="O336" s="17" t="b">
        <x:v>1</x:v>
      </x:c>
      <x:c r="P336" s="16" t="b">
        <x:f>IFERROR(VLOOKUP(A336,States!$A$2:$B$18,2,FALSE),FALSE)</x:f>
        <x:v>1</x:v>
      </x:c>
      <x:c r="Q336" s="16" t="b">
        <x:f>AND(OR(O336=TRUE,O336="TRUE"),OR(P336=TRUE,P336="TRUE"))</x:f>
        <x:v>1</x:v>
      </x:c>
    </x:row>
    <x:row r="337">
      <x:c r="A337" s="16" t="str">
        <x:v>Pennsylvania</x:v>
      </x:c>
      <x:c r="B337" s="16" t="str">
        <x:v>Allentown</x:v>
      </x:c>
      <x:c r="C337" s="16" t="n">
        <x:v>-75.511</x:v>
      </x:c>
      <x:c r="D337" s="16" t="n">
        <x:v>40.603</x:v>
      </x:c>
      <x:c r="E337" s="16" t="str">
        <x:v>Dorney Park and Wildwater Kingdom</x:v>
      </x:c>
      <x:c r="F337" s="16" t="str">
        <x:v>Families, thrill seekers</x:v>
      </x:c>
      <x:c r="G337" s="16" t="str">
        <x:v>Coasters and water rides make a classic eastern Pennsylvania amusement day.</x:v>
      </x:c>
      <x:c r="H337" s="16" t="str">
        <x:v>Theme Park</x:v>
      </x:c>
      <x:c r="I337" s="16" t="str">
        <x:v>https://www.google.com/search?q=Dorney%20Park%20and%20Wildwater%20Kingdom%20Allentown%20Pennsylvania%20official%20website</x:v>
      </x:c>
      <x:c r="J337" s="16" t="str">
        <x:v>https://www.google.com/search?q=site%3Avisitpa.com%20Dorney%20Park%20and%20Wildwater%20Kingdom</x:v>
      </x:c>
      <x:c r="K337" s="16" t="str">
        <x:v>https://www.google.com/search?q=Dorney%20Park%20and%20Wildwater%20Kingdom%20Allentown%20Pennsylvania%20visitor%20information</x:v>
      </x:c>
      <x:c r="L337" s="16" t="str">
        <x:v>https://www.google.com/search?q=Dorney%20Park%20and%20Wildwater%20Kingdom%20Allentown%20Pennsylvania%20photos</x:v>
      </x:c>
      <x:c r="M337" s="16" t="str">
        <x:v>https://www.google.com/search?q=Dorney%20Park%20and%20Wildwater%20Kingdom%20Allentown%20Pennsylvania%20wikipedia%20OR%20wikivoyage</x:v>
      </x:c>
      <x:c r="N337" s="16" t="str">
        <x:v>https://www.google.com/maps/search/?api=1&amp;query=Dorney%20Park%20and%20Wildwater%20Kingdom%2C%20Allentown%2C%20Pennsylvania</x:v>
      </x:c>
      <x:c r="O337" s="17" t="b">
        <x:v>1</x:v>
      </x:c>
      <x:c r="P337" s="16" t="b">
        <x:f>IFERROR(VLOOKUP(A337,States!$A$2:$B$18,2,FALSE),FALSE)</x:f>
        <x:v>1</x:v>
      </x:c>
      <x:c r="Q337" s="16" t="b">
        <x:f>AND(OR(O337=TRUE,O337="TRUE"),OR(P337=TRUE,P337="TRUE"))</x:f>
        <x:v>1</x:v>
      </x:c>
    </x:row>
    <x:row r="338">
      <x:c r="A338" s="16" t="str">
        <x:v>Pennsylvania</x:v>
      </x:c>
      <x:c r="B338" s="16" t="str">
        <x:v>Lancaster</x:v>
      </x:c>
      <x:c r="C338" s="16" t="n">
        <x:v>-76.305</x:v>
      </x:c>
      <x:c r="D338" s="16" t="n">
        <x:v>40.037</x:v>
      </x:c>
      <x:c r="E338" s="16" t="str">
        <x:v>Lancaster Central Market</x:v>
      </x:c>
      <x:c r="F338" s="16" t="str">
        <x:v>Food lovers, families</x:v>
      </x:c>
      <x:c r="G338" s="16" t="str">
        <x:v>One of America's oldest public markets showcases Pennsylvania Dutch food culture.</x:v>
      </x:c>
      <x:c r="H338" s="16" t="str">
        <x:v>Food/Market</x:v>
      </x:c>
      <x:c r="I338" s="16" t="str">
        <x:v>https://www.google.com/search?q=Lancaster%20Central%20Market%20Lancaster%20Pennsylvania%20official%20website</x:v>
      </x:c>
      <x:c r="J338" s="16" t="str">
        <x:v>https://www.google.com/search?q=site%3Avisitpa.com%20Lancaster%20Central%20Market</x:v>
      </x:c>
      <x:c r="K338" s="16" t="str">
        <x:v>https://www.google.com/search?q=Lancaster%20Central%20Market%20Lancaster%20Pennsylvania%20visitor%20information</x:v>
      </x:c>
      <x:c r="L338" s="16" t="str">
        <x:v>https://www.google.com/search?q=Lancaster%20Central%20Market%20Lancaster%20Pennsylvania%20photos</x:v>
      </x:c>
      <x:c r="M338" s="16" t="str">
        <x:v>https://www.google.com/search?q=Lancaster%20Central%20Market%20Lancaster%20Pennsylvania%20wikipedia%20OR%20wikivoyage</x:v>
      </x:c>
      <x:c r="N338" s="16" t="str">
        <x:v>https://www.google.com/maps/search/?api=1&amp;query=Lancaster%20Central%20Market%2C%20Lancaster%2C%20Pennsylvania</x:v>
      </x:c>
      <x:c r="O338" s="17" t="b">
        <x:v>1</x:v>
      </x:c>
      <x:c r="P338" s="16" t="b">
        <x:f>IFERROR(VLOOKUP(A338,States!$A$2:$B$18,2,FALSE),FALSE)</x:f>
        <x:v>1</x:v>
      </x:c>
      <x:c r="Q338" s="16" t="b">
        <x:f>AND(OR(O338=TRUE,O338="TRUE"),OR(P338=TRUE,P338="TRUE"))</x:f>
        <x:v>1</x:v>
      </x:c>
    </x:row>
    <x:row r="339">
      <x:c r="A339" s="16" t="str">
        <x:v>Pennsylvania</x:v>
      </x:c>
      <x:c r="B339" s="16" t="str">
        <x:v>Williamsport</x:v>
      </x:c>
      <x:c r="C339" s="16" t="n">
        <x:v>-77.049</x:v>
      </x:c>
      <x:c r="D339" s="16" t="n">
        <x:v>41.242</x:v>
      </x:c>
      <x:c r="E339" s="16" t="str">
        <x:v>Little League World Series Complex</x:v>
      </x:c>
      <x:c r="F339" s="16" t="str">
        <x:v>Baseball families, sports fans</x:v>
      </x:c>
      <x:c r="G339" s="16" t="str">
        <x:v>Youth baseball history and tournament energy define the site.</x:v>
      </x:c>
      <x:c r="H339" s="16" t="str">
        <x:v>Sports</x:v>
      </x:c>
      <x:c r="I339" s="16" t="str">
        <x:v>https://www.google.com/search?q=Little%20League%20World%20Series%20Complex%20Williamsport%20Pennsylvania%20official%20website</x:v>
      </x:c>
      <x:c r="J339" s="16" t="str">
        <x:v>https://www.google.com/search?q=site%3Avisitpa.com%20Little%20League%20World%20Series%20Complex</x:v>
      </x:c>
      <x:c r="K339" s="16" t="str">
        <x:v>https://www.google.com/search?q=Little%20League%20World%20Series%20Complex%20Williamsport%20Pennsylvania%20visitor%20information</x:v>
      </x:c>
      <x:c r="L339" s="16" t="str">
        <x:v>https://www.google.com/search?q=Little%20League%20World%20Series%20Complex%20Williamsport%20Pennsylvania%20photos</x:v>
      </x:c>
      <x:c r="M339" s="16" t="str">
        <x:v>https://www.google.com/search?q=Little%20League%20World%20Series%20Complex%20Williamsport%20Pennsylvania%20wikipedia%20OR%20wikivoyage</x:v>
      </x:c>
      <x:c r="N339" s="16" t="str">
        <x:v>https://www.google.com/maps/search/?api=1&amp;query=Little%20League%20World%20Series%20Complex%2C%20Williamsport%2C%20Pennsylvania</x:v>
      </x:c>
      <x:c r="O339" s="17" t="b">
        <x:v>1</x:v>
      </x:c>
      <x:c r="P339" s="16" t="b">
        <x:f>IFERROR(VLOOKUP(A339,States!$A$2:$B$18,2,FALSE),FALSE)</x:f>
        <x:v>1</x:v>
      </x:c>
      <x:c r="Q339" s="16" t="b">
        <x:f>AND(OR(O339=TRUE,O339="TRUE"),OR(P339=TRUE,P339="TRUE"))</x:f>
        <x:v>1</x:v>
      </x:c>
    </x:row>
    <x:row r="340">
      <x:c r="A340" s="16" t="str">
        <x:v>Pennsylvania</x:v>
      </x:c>
      <x:c r="B340" s="16" t="str">
        <x:v>Lake Harmony</x:v>
      </x:c>
      <x:c r="C340" s="16" t="n">
        <x:v>-75.515</x:v>
      </x:c>
      <x:c r="D340" s="16" t="n">
        <x:v>41.061</x:v>
      </x:c>
      <x:c r="E340" s="16" t="str">
        <x:v>Hickory Run State Park</x:v>
      </x:c>
      <x:c r="F340" s="16" t="str">
        <x:v>Hikers, families, geology fans</x:v>
      </x:c>
      <x:c r="G340" s="16" t="str">
        <x:v>A boulder field, waterfalls, and forest trails make an easy Pocono nature stop.</x:v>
      </x:c>
      <x:c r="H340" s="16" t="str">
        <x:v>Nature</x:v>
      </x:c>
      <x:c r="I340" s="16" t="str">
        <x:v>https://www.google.com/search?q=Hickory%20Run%20State%20Park%20Lake%20Harmony%20Pennsylvania%20official%20website</x:v>
      </x:c>
      <x:c r="J340" s="16" t="str">
        <x:v>https://www.google.com/search?q=site%3Avisitpa.com%20Hickory%20Run%20State%20Park</x:v>
      </x:c>
      <x:c r="K340" s="16" t="str">
        <x:v>https://www.google.com/search?q=Hickory%20Run%20State%20Park%20Lake%20Harmony%20Pennsylvania%20visitor%20information</x:v>
      </x:c>
      <x:c r="L340" s="16" t="str">
        <x:v>https://www.google.com/search?q=Hickory%20Run%20State%20Park%20Lake%20Harmony%20Pennsylvania%20photos</x:v>
      </x:c>
      <x:c r="M340" s="16" t="str">
        <x:v>https://www.google.com/search?q=Hickory%20Run%20State%20Park%20Lake%20Harmony%20Pennsylvania%20wikipedia%20OR%20wikivoyage</x:v>
      </x:c>
      <x:c r="N340" s="16" t="str">
        <x:v>https://www.google.com/maps/search/?api=1&amp;query=Hickory%20Run%20State%20Park%2C%20Lake%20Harmony%2C%20Pennsylvania</x:v>
      </x:c>
      <x:c r="O340" s="17" t="b">
        <x:v>1</x:v>
      </x:c>
      <x:c r="P340" s="16" t="b">
        <x:f>IFERROR(VLOOKUP(A340,States!$A$2:$B$18,2,FALSE),FALSE)</x:f>
        <x:v>1</x:v>
      </x:c>
      <x:c r="Q340" s="16" t="b">
        <x:f>AND(OR(O340=TRUE,O340="TRUE"),OR(P340=TRUE,P340="TRUE"))</x:f>
        <x:v>1</x:v>
      </x:c>
    </x:row>
    <x:row r="341">
      <x:c r="A341" s="16" t="str">
        <x:v>Pennsylvania</x:v>
      </x:c>
      <x:c r="B341" s="16" t="str">
        <x:v>Philadelphia</x:v>
      </x:c>
      <x:c r="C341" s="16" t="n">
        <x:v>-75.173</x:v>
      </x:c>
      <x:c r="D341" s="16" t="n">
        <x:v>39.953</x:v>
      </x:c>
      <x:c r="E341" s="16" t="str">
        <x:v>Reading Terminal Market</x:v>
      </x:c>
      <x:c r="F341" s="16" t="str">
        <x:v>Food lovers, city explorers</x:v>
      </x:c>
      <x:c r="G341" s="16" t="str">
        <x:v>A dense indoor market makes Philadelphia food traditions easy to sample.</x:v>
      </x:c>
      <x:c r="H341" s="16" t="str">
        <x:v>Food/Market</x:v>
      </x:c>
      <x:c r="I341" s="16" t="str">
        <x:v>https://www.google.com/search?q=Reading%20Terminal%20Market%20Philadelphia%20Pennsylvania%20official%20website</x:v>
      </x:c>
      <x:c r="J341" s="16" t="str">
        <x:v>https://www.google.com/search?q=site%3Avisitpa.com%20Reading%20Terminal%20Market</x:v>
      </x:c>
      <x:c r="K341" s="16" t="str">
        <x:v>https://www.google.com/search?q=Reading%20Terminal%20Market%20Philadelphia%20Pennsylvania%20visitor%20information</x:v>
      </x:c>
      <x:c r="L341" s="16" t="str">
        <x:v>https://www.google.com/search?q=Reading%20Terminal%20Market%20Philadelphia%20Pennsylvania%20photos</x:v>
      </x:c>
      <x:c r="M341" s="16" t="str">
        <x:v>https://www.google.com/search?q=Reading%20Terminal%20Market%20Philadelphia%20Pennsylvania%20wikipedia%20OR%20wikivoyage</x:v>
      </x:c>
      <x:c r="N341" s="16" t="str">
        <x:v>https://www.google.com/maps/search/?api=1&amp;query=Reading%20Terminal%20Market%2C%20Philadelphia%2C%20Pennsylvania</x:v>
      </x:c>
      <x:c r="O341" s="17" t="b">
        <x:v>1</x:v>
      </x:c>
      <x:c r="P341" s="16" t="b">
        <x:f>IFERROR(VLOOKUP(A341,States!$A$2:$B$18,2,FALSE),FALSE)</x:f>
        <x:v>1</x:v>
      </x:c>
      <x:c r="Q341" s="16" t="b">
        <x:f>AND(OR(O341=TRUE,O341="TRUE"),OR(P341=TRUE,P341="TRUE"))</x:f>
        <x:v>1</x:v>
      </x:c>
    </x:row>
    <x:row r="342">
      <x:c r="A342" s="16" t="str">
        <x:v>Ohio</x:v>
      </x:c>
      <x:c r="B342" s="16" t="str">
        <x:v>Columbus</x:v>
      </x:c>
      <x:c r="C342" s="16" t="n">
        <x:v>-83.009</x:v>
      </x:c>
      <x:c r="D342" s="16" t="n">
        <x:v>39.959</x:v>
      </x:c>
      <x:c r="E342" s="16" t="str">
        <x:v>COSI</x:v>
      </x:c>
      <x:c r="F342" s="16" t="str">
        <x:v>Families, science fans</x:v>
      </x:c>
      <x:c r="G342" s="16" t="str">
        <x:v>Hands-on science exhibits and big-screen programs make learning energetic.</x:v>
      </x:c>
      <x:c r="H342" s="16" t="str">
        <x:v>Science</x:v>
      </x:c>
      <x:c r="I342" s="16" t="str">
        <x:v>https://www.google.com/search?q=COSI%20Columbus%20Ohio%20official%20website</x:v>
      </x:c>
      <x:c r="J342" s="16" t="str">
        <x:v>https://www.google.com/search?q=site%3Aohio.org%20COSI</x:v>
      </x:c>
      <x:c r="K342" s="16" t="str">
        <x:v>https://www.google.com/search?q=COSI%20Columbus%20Ohio%20visitor%20information</x:v>
      </x:c>
      <x:c r="L342" s="16" t="str">
        <x:v>https://www.google.com/search?q=COSI%20Columbus%20Ohio%20photos</x:v>
      </x:c>
      <x:c r="M342" s="16" t="str">
        <x:v>https://www.google.com/search?q=COSI%20Columbus%20Ohio%20wikipedia%20OR%20wikivoyage</x:v>
      </x:c>
      <x:c r="N342" s="16" t="str">
        <x:v>https://www.google.com/maps/search/?api=1&amp;query=COSI%2C%20Columbus%2C%20Ohio</x:v>
      </x:c>
      <x:c r="O342" s="17" t="b">
        <x:v>1</x:v>
      </x:c>
      <x:c r="P342" s="16" t="b">
        <x:f>IFERROR(VLOOKUP(A342,States!$A$2:$B$18,2,FALSE),FALSE)</x:f>
        <x:v>1</x:v>
      </x:c>
      <x:c r="Q342" s="16" t="b">
        <x:f>AND(OR(O342=TRUE,O342="TRUE"),OR(P342=TRUE,P342="TRUE"))</x:f>
        <x:v>1</x:v>
      </x:c>
    </x:row>
    <x:row r="343">
      <x:c r="A343" s="16" t="str">
        <x:v>Ohio</x:v>
      </x:c>
      <x:c r="B343" s="16" t="str">
        <x:v>Cincinnati</x:v>
      </x:c>
      <x:c r="C343" s="16" t="n">
        <x:v>-84.498</x:v>
      </x:c>
      <x:c r="D343" s="16" t="n">
        <x:v>39.11</x:v>
      </x:c>
      <x:c r="E343" s="16" t="str">
        <x:v>Cincinnati Museum Center at Union Terminal</x:v>
      </x:c>
      <x:c r="F343" s="16" t="str">
        <x:v>Families, architecture fans</x:v>
      </x:c>
      <x:c r="G343" s="16" t="str">
        <x:v>Art Deco architecture houses history, science, and children's museums.</x:v>
      </x:c>
      <x:c r="H343" s="16" t="str">
        <x:v>Museum</x:v>
      </x:c>
      <x:c r="I343" s="16" t="str">
        <x:v>https://www.google.com/search?q=Cincinnati%20Museum%20Center%20at%20Union%20Terminal%20Cincinnati%20Ohio%20official%20website</x:v>
      </x:c>
      <x:c r="J343" s="16" t="str">
        <x:v>https://www.google.com/search?q=site%3Aohio.org%20Cincinnati%20Museum%20Center%20at%20Union%20Terminal</x:v>
      </x:c>
      <x:c r="K343" s="16" t="str">
        <x:v>https://www.google.com/search?q=Cincinnati%20Museum%20Center%20at%20Union%20Terminal%20Cincinnati%20Ohio%20visitor%20information</x:v>
      </x:c>
      <x:c r="L343" s="16" t="str">
        <x:v>https://www.google.com/search?q=Cincinnati%20Museum%20Center%20at%20Union%20Terminal%20Cincinnati%20Ohio%20photos</x:v>
      </x:c>
      <x:c r="M343" s="16" t="str">
        <x:v>https://www.google.com/search?q=Cincinnati%20Museum%20Center%20at%20Union%20Terminal%20Cincinnati%20Ohio%20wikipedia%20OR%20wikivoyage</x:v>
      </x:c>
      <x:c r="N343" s="16" t="str">
        <x:v>https://www.google.com/maps/search/?api=1&amp;query=Cincinnati%20Museum%20Center%20at%20Union%20Terminal%2C%20Cincinnati%2C%20Ohio</x:v>
      </x:c>
      <x:c r="O343" s="17" t="b">
        <x:v>1</x:v>
      </x:c>
      <x:c r="P343" s="16" t="b">
        <x:f>IFERROR(VLOOKUP(A343,States!$A$2:$B$18,2,FALSE),FALSE)</x:f>
        <x:v>1</x:v>
      </x:c>
      <x:c r="Q343" s="16" t="b">
        <x:f>AND(OR(O343=TRUE,O343="TRUE"),OR(P343=TRUE,P343="TRUE"))</x:f>
        <x:v>1</x:v>
      </x:c>
    </x:row>
    <x:row r="344">
      <x:c r="A344" s="16" t="str">
        <x:v>Ohio</x:v>
      </x:c>
      <x:c r="B344" s="16" t="str">
        <x:v>Marblehead</x:v>
      </x:c>
      <x:c r="C344" s="16" t="n">
        <x:v>-82.711</x:v>
      </x:c>
      <x:c r="D344" s="16" t="n">
        <x:v>41.536</x:v>
      </x:c>
      <x:c r="E344" s="16" t="str">
        <x:v>Marblehead Lighthouse State Park</x:v>
      </x:c>
      <x:c r="F344" s="16" t="str">
        <x:v>Photographers, families, lake travelers</x:v>
      </x:c>
      <x:c r="G344" s="16" t="str">
        <x:v>A classic Lake Erie lighthouse anchors shoreline views.</x:v>
      </x:c>
      <x:c r="H344" s="16" t="str">
        <x:v>Historic Site</x:v>
      </x:c>
      <x:c r="I344" s="16" t="str">
        <x:v>https://www.google.com/search?q=Marblehead%20Lighthouse%20State%20Park%20Marblehead%20Ohio%20official%20website</x:v>
      </x:c>
      <x:c r="J344" s="16" t="str">
        <x:v>https://www.google.com/search?q=site%3Aohio.org%20Marblehead%20Lighthouse%20State%20Park</x:v>
      </x:c>
      <x:c r="K344" s="16" t="str">
        <x:v>https://www.google.com/search?q=Marblehead%20Lighthouse%20State%20Park%20Marblehead%20Ohio%20visitor%20information</x:v>
      </x:c>
      <x:c r="L344" s="16" t="str">
        <x:v>https://www.google.com/search?q=Marblehead%20Lighthouse%20State%20Park%20Marblehead%20Ohio%20photos</x:v>
      </x:c>
      <x:c r="M344" s="16" t="str">
        <x:v>https://www.google.com/search?q=Marblehead%20Lighthouse%20State%20Park%20Marblehead%20Ohio%20wikipedia%20OR%20wikivoyage</x:v>
      </x:c>
      <x:c r="N344" s="16" t="str">
        <x:v>https://www.google.com/maps/search/?api=1&amp;query=Marblehead%20Lighthouse%20State%20Park%2C%20Marblehead%2C%20Ohio</x:v>
      </x:c>
      <x:c r="O344" s="17" t="b">
        <x:v>1</x:v>
      </x:c>
      <x:c r="P344" s="16" t="b">
        <x:f>IFERROR(VLOOKUP(A344,States!$A$2:$B$18,2,FALSE),FALSE)</x:f>
        <x:v>1</x:v>
      </x:c>
      <x:c r="Q344" s="16" t="b">
        <x:f>AND(OR(O344=TRUE,O344="TRUE"),OR(P344=TRUE,P344="TRUE"))</x:f>
        <x:v>1</x:v>
      </x:c>
    </x:row>
    <x:row r="345">
      <x:c r="A345" s="16" t="str">
        <x:v>Ohio</x:v>
      </x:c>
      <x:c r="B345" s="16" t="str">
        <x:v>Cincinnati</x:v>
      </x:c>
      <x:c r="C345" s="16" t="n">
        <x:v>-84.518</x:v>
      </x:c>
      <x:c r="D345" s="16" t="n">
        <x:v>39.109</x:v>
      </x:c>
      <x:c r="E345" s="16" t="str">
        <x:v>National Underground Railroad Freedom Center</x:v>
      </x:c>
      <x:c r="F345" s="16" t="str">
        <x:v>History travelers, students</x:v>
      </x:c>
      <x:c r="G345" s="16" t="str">
        <x:v>Powerful exhibits connect freedom struggles to the Ohio River setting.</x:v>
      </x:c>
      <x:c r="H345" s="16" t="str">
        <x:v>Museum</x:v>
      </x:c>
      <x:c r="I345" s="16" t="str">
        <x:v>https://www.google.com/search?q=National%20Underground%20Railroad%20Freedom%20Center%20Cincinnati%20Ohio%20official%20website</x:v>
      </x:c>
      <x:c r="J345" s="16" t="str">
        <x:v>https://www.google.com/search?q=site%3Aohio.org%20National%20Underground%20Railroad%20Freedom%20Center</x:v>
      </x:c>
      <x:c r="K345" s="16" t="str">
        <x:v>https://www.google.com/search?q=National%20Underground%20Railroad%20Freedom%20Center%20Cincinnati%20Ohio%20visitor%20information</x:v>
      </x:c>
      <x:c r="L345" s="16" t="str">
        <x:v>https://www.google.com/search?q=National%20Underground%20Railroad%20Freedom%20Center%20Cincinnati%20Ohio%20photos</x:v>
      </x:c>
      <x:c r="M345" s="16" t="str">
        <x:v>https://www.google.com/search?q=National%20Underground%20Railroad%20Freedom%20Center%20Cincinnati%20Ohio%20wikipedia%20OR%20wikivoyage</x:v>
      </x:c>
      <x:c r="N345" s="16" t="str">
        <x:v>https://www.google.com/maps/search/?api=1&amp;query=National%20Underground%20Railroad%20Freedom%20Center%2C%20Cincinnati%2C%20Ohio</x:v>
      </x:c>
      <x:c r="O345" s="17" t="b">
        <x:v>1</x:v>
      </x:c>
      <x:c r="P345" s="16" t="b">
        <x:f>IFERROR(VLOOKUP(A345,States!$A$2:$B$18,2,FALSE),FALSE)</x:f>
        <x:v>1</x:v>
      </x:c>
      <x:c r="Q345" s="16" t="b">
        <x:f>AND(OR(O345=TRUE,O345="TRUE"),OR(P345=TRUE,P345="TRUE"))</x:f>
        <x:v>1</x:v>
      </x:c>
    </x:row>
    <x:row r="346">
      <x:c r="A346" s="16" t="str">
        <x:v>Ohio</x:v>
      </x:c>
      <x:c r="B346" s="16" t="str">
        <x:v>Cambridge</x:v>
      </x:c>
      <x:c r="C346" s="16" t="n">
        <x:v>-81.59</x:v>
      </x:c>
      <x:c r="D346" s="16" t="n">
        <x:v>39.996</x:v>
      </x:c>
      <x:c r="E346" s="16" t="str">
        <x:v>The Wilds</x:v>
      </x:c>
      <x:c r="F346" s="16" t="str">
        <x:v>Families, wildlife lovers</x:v>
      </x:c>
      <x:c r="G346" s="16" t="str">
        <x:v>Open-range safari tours support conservation in reclaimed mine lands.</x:v>
      </x:c>
      <x:c r="H346" s="16" t="str">
        <x:v>Wildlife</x:v>
      </x:c>
      <x:c r="I346" s="16" t="str">
        <x:v>https://www.google.com/search?q=The%20Wilds%20Cambridge%20Ohio%20official%20website</x:v>
      </x:c>
      <x:c r="J346" s="16" t="str">
        <x:v>https://www.google.com/search?q=site%3Aohio.org%20The%20Wilds</x:v>
      </x:c>
      <x:c r="K346" s="16" t="str">
        <x:v>https://www.google.com/search?q=The%20Wilds%20Cambridge%20Ohio%20visitor%20information</x:v>
      </x:c>
      <x:c r="L346" s="16" t="str">
        <x:v>https://www.google.com/search?q=The%20Wilds%20Cambridge%20Ohio%20photos</x:v>
      </x:c>
      <x:c r="M346" s="16" t="str">
        <x:v>https://www.google.com/search?q=The%20Wilds%20Cambridge%20Ohio%20wikipedia%20OR%20wikivoyage</x:v>
      </x:c>
      <x:c r="N346" s="16" t="str">
        <x:v>https://www.google.com/maps/search/?api=1&amp;query=The%20Wilds%2C%20Cambridge%2C%20Ohio</x:v>
      </x:c>
      <x:c r="O346" s="17" t="b">
        <x:v>1</x:v>
      </x:c>
      <x:c r="P346" s="16" t="b">
        <x:f>IFERROR(VLOOKUP(A346,States!$A$2:$B$18,2,FALSE),FALSE)</x:f>
        <x:v>1</x:v>
      </x:c>
      <x:c r="Q346" s="16" t="b">
        <x:f>AND(OR(O346=TRUE,O346="TRUE"),OR(P346=TRUE,P346="TRUE"))</x:f>
        <x:v>1</x:v>
      </x:c>
    </x:row>
    <x:row r="347">
      <x:c r="A347" s="16" t="str">
        <x:v>Ohio</x:v>
      </x:c>
      <x:c r="B347" s="16" t="str">
        <x:v>Geneva-on-the-Lake</x:v>
      </x:c>
      <x:c r="C347" s="16" t="n">
        <x:v>-80.953</x:v>
      </x:c>
      <x:c r="D347" s="16" t="n">
        <x:v>41.858</x:v>
      </x:c>
      <x:c r="E347" s="16" t="str">
        <x:v>Geneva-on-the-Lake</x:v>
      </x:c>
      <x:c r="F347" s="16" t="str">
        <x:v>Families, lake travelers</x:v>
      </x:c>
      <x:c r="G347" s="16" t="str">
        <x:v>A nostalgic Lake Erie resort town mixes arcades, beaches, and wineries.</x:v>
      </x:c>
      <x:c r="H347" s="16" t="str">
        <x:v>Scenic Town</x:v>
      </x:c>
      <x:c r="I347" s="16" t="str">
        <x:v>https://www.google.com/search?q=Geneva-on-the-Lake%20Geneva-on-the-Lake%20Ohio%20official%20website</x:v>
      </x:c>
      <x:c r="J347" s="16" t="str">
        <x:v>https://www.google.com/search?q=site%3Aohio.org%20Geneva-on-the-Lake</x:v>
      </x:c>
      <x:c r="K347" s="16" t="str">
        <x:v>https://www.google.com/search?q=Geneva-on-the-Lake%20Geneva-on-the-Lake%20Ohio%20visitor%20information</x:v>
      </x:c>
      <x:c r="L347" s="16" t="str">
        <x:v>https://www.google.com/search?q=Geneva-on-the-Lake%20Geneva-on-the-Lake%20Ohio%20photos</x:v>
      </x:c>
      <x:c r="M347" s="16" t="str">
        <x:v>https://www.google.com/search?q=Geneva-on-the-Lake%20Geneva-on-the-Lake%20Ohio%20wikipedia%20OR%20wikivoyage</x:v>
      </x:c>
      <x:c r="N347" s="16" t="str">
        <x:v>https://www.google.com/maps/search/?api=1&amp;query=Geneva-on-the-Lake%2C%20Geneva-on-the-Lake%2C%20Ohio</x:v>
      </x:c>
      <x:c r="O347" s="17" t="b">
        <x:v>1</x:v>
      </x:c>
      <x:c r="P347" s="16" t="b">
        <x:f>IFERROR(VLOOKUP(A347,States!$A$2:$B$18,2,FALSE),FALSE)</x:f>
        <x:v>1</x:v>
      </x:c>
      <x:c r="Q347" s="16" t="b">
        <x:f>AND(OR(O347=TRUE,O347="TRUE"),OR(P347=TRUE,P347="TRUE"))</x:f>
        <x:v>1</x:v>
      </x:c>
    </x:row>
    <x:row r="348">
      <x:c r="A348" s="16" t="str">
        <x:v>Ohio</x:v>
      </x:c>
      <x:c r="B348" s="16" t="str">
        <x:v>Chillicothe</x:v>
      </x:c>
      <x:c r="C348" s="16" t="n">
        <x:v>-83.01</x:v>
      </x:c>
      <x:c r="D348" s="16" t="n">
        <x:v>39.376</x:v>
      </x:c>
      <x:c r="E348" s="16" t="str">
        <x:v>Hopewell Culture National Historical Park</x:v>
      </x:c>
      <x:c r="F348" s="16" t="str">
        <x:v>History travelers, families</x:v>
      </x:c>
      <x:c r="G348" s="16" t="str">
        <x:v>Ancient earthworks reveal sophisticated Indigenous ceremonial landscapes.</x:v>
      </x:c>
      <x:c r="H348" s="16" t="str">
        <x:v>Historic Site</x:v>
      </x:c>
      <x:c r="I348" s="16" t="str">
        <x:v>https://www.google.com/search?q=Hopewell%20Culture%20National%20Historical%20Park%20Chillicothe%20Ohio%20official%20website</x:v>
      </x:c>
      <x:c r="J348" s="16" t="str">
        <x:v>https://www.google.com/search?q=site%3Aohio.org%20Hopewell%20Culture%20National%20Historical%20Park</x:v>
      </x:c>
      <x:c r="K348" s="16" t="str">
        <x:v>https://www.google.com/search?q=Hopewell%20Culture%20National%20Historical%20Park%20Chillicothe%20Ohio%20visitor%20information</x:v>
      </x:c>
      <x:c r="L348" s="16" t="str">
        <x:v>https://www.google.com/search?q=Hopewell%20Culture%20National%20Historical%20Park%20Chillicothe%20Ohio%20photos</x:v>
      </x:c>
      <x:c r="M348" s="16" t="str">
        <x:v>https://www.google.com/search?q=Hopewell%20Culture%20National%20Historical%20Park%20Chillicothe%20Ohio%20wikipedia%20OR%20wikivoyage</x:v>
      </x:c>
      <x:c r="N348" s="16" t="str">
        <x:v>https://www.google.com/maps/search/?api=1&amp;query=Hopewell%20Culture%20National%20Historical%20Park%2C%20Chillicothe%2C%20Ohio</x:v>
      </x:c>
      <x:c r="O348" s="17" t="b">
        <x:v>1</x:v>
      </x:c>
      <x:c r="P348" s="16" t="b">
        <x:f>IFERROR(VLOOKUP(A348,States!$A$2:$B$18,2,FALSE),FALSE)</x:f>
        <x:v>1</x:v>
      </x:c>
      <x:c r="Q348" s="16" t="b">
        <x:f>AND(OR(O348=TRUE,O348="TRUE"),OR(P348=TRUE,P348="TRUE"))</x:f>
        <x:v>1</x:v>
      </x:c>
    </x:row>
    <x:row r="349">
      <x:c r="A349" s="16" t="str">
        <x:v>Ohio</x:v>
      </x:c>
      <x:c r="B349" s="16" t="str">
        <x:v>Cleveland</x:v>
      </x:c>
      <x:c r="C349" s="16" t="n">
        <x:v>-81.696</x:v>
      </x:c>
      <x:c r="D349" s="16" t="n">
        <x:v>41.511</x:v>
      </x:c>
      <x:c r="E349" s="16" t="str">
        <x:v>Great Lakes Science Center</x:v>
      </x:c>
      <x:c r="F349" s="16" t="str">
        <x:v>Families, science fans</x:v>
      </x:c>
      <x:c r="G349" s="16" t="str">
        <x:v>Hands-on exhibits connect technology, space, and Lake Erie science.</x:v>
      </x:c>
      <x:c r="H349" s="16" t="str">
        <x:v>Science</x:v>
      </x:c>
      <x:c r="I349" s="16" t="str">
        <x:v>https://www.google.com/search?q=Great%20Lakes%20Science%20Center%20Cleveland%20Ohio%20official%20website</x:v>
      </x:c>
      <x:c r="J349" s="16" t="str">
        <x:v>https://www.google.com/search?q=site%3Aohio.org%20Great%20Lakes%20Science%20Center</x:v>
      </x:c>
      <x:c r="K349" s="16" t="str">
        <x:v>https://www.google.com/search?q=Great%20Lakes%20Science%20Center%20Cleveland%20Ohio%20visitor%20information</x:v>
      </x:c>
      <x:c r="L349" s="16" t="str">
        <x:v>https://www.google.com/search?q=Great%20Lakes%20Science%20Center%20Cleveland%20Ohio%20photos</x:v>
      </x:c>
      <x:c r="M349" s="16" t="str">
        <x:v>https://www.google.com/search?q=Great%20Lakes%20Science%20Center%20Cleveland%20Ohio%20wikipedia%20OR%20wikivoyage</x:v>
      </x:c>
      <x:c r="N349" s="16" t="str">
        <x:v>https://www.google.com/maps/search/?api=1&amp;query=Great%20Lakes%20Science%20Center%2C%20Cleveland%2C%20Ohio</x:v>
      </x:c>
      <x:c r="O349" s="17" t="b">
        <x:v>1</x:v>
      </x:c>
      <x:c r="P349" s="16" t="b">
        <x:f>IFERROR(VLOOKUP(A349,States!$A$2:$B$18,2,FALSE),FALSE)</x:f>
        <x:v>1</x:v>
      </x:c>
      <x:c r="Q349" s="16" t="b">
        <x:f>AND(OR(O349=TRUE,O349="TRUE"),OR(P349=TRUE,P349="TRUE"))</x:f>
        <x:v>1</x:v>
      </x:c>
    </x:row>
    <x:row r="350">
      <x:c r="A350" s="16" t="str">
        <x:v>Ohio</x:v>
      </x:c>
      <x:c r="B350" s="16" t="str">
        <x:v>Cleveland</x:v>
      </x:c>
      <x:c r="C350" s="16" t="n">
        <x:v>-81.698</x:v>
      </x:c>
      <x:c r="D350" s="16" t="n">
        <x:v>41.511</x:v>
      </x:c>
      <x:c r="E350" s="16" t="str">
        <x:v>USS Cod Submarine Memorial</x:v>
      </x:c>
      <x:c r="F350" s="16" t="str">
        <x:v>Military-history fans, families</x:v>
      </x:c>
      <x:c r="G350" s="16" t="str">
        <x:v>A preserved World War II submarine offers a rare close-quarters tour.</x:v>
      </x:c>
      <x:c r="H350" s="16" t="str">
        <x:v>Historic Site</x:v>
      </x:c>
      <x:c r="I350" s="16" t="str">
        <x:v>https://www.google.com/search?q=USS%20Cod%20Submarine%20Memorial%20Cleveland%20Ohio%20official%20website</x:v>
      </x:c>
      <x:c r="J350" s="16" t="str">
        <x:v>https://www.google.com/search?q=site%3Aohio.org%20USS%20Cod%20Submarine%20Memorial</x:v>
      </x:c>
      <x:c r="K350" s="16" t="str">
        <x:v>https://www.google.com/search?q=USS%20Cod%20Submarine%20Memorial%20Cleveland%20Ohio%20visitor%20information</x:v>
      </x:c>
      <x:c r="L350" s="16" t="str">
        <x:v>https://www.google.com/search?q=USS%20Cod%20Submarine%20Memorial%20Cleveland%20Ohio%20photos</x:v>
      </x:c>
      <x:c r="M350" s="16" t="str">
        <x:v>https://www.google.com/search?q=USS%20Cod%20Submarine%20Memorial%20Cleveland%20Ohio%20wikipedia%20OR%20wikivoyage</x:v>
      </x:c>
      <x:c r="N350" s="16" t="str">
        <x:v>https://www.google.com/maps/search/?api=1&amp;query=USS%20Cod%20Submarine%20Memorial%2C%20Cleveland%2C%20Ohio</x:v>
      </x:c>
      <x:c r="O350" s="17" t="b">
        <x:v>1</x:v>
      </x:c>
      <x:c r="P350" s="16" t="b">
        <x:f>IFERROR(VLOOKUP(A350,States!$A$2:$B$18,2,FALSE),FALSE)</x:f>
        <x:v>1</x:v>
      </x:c>
      <x:c r="Q350" s="16" t="b">
        <x:f>AND(OR(O350=TRUE,O350="TRUE"),OR(P350=TRUE,P350="TRUE"))</x:f>
        <x:v>1</x:v>
      </x:c>
    </x:row>
    <x:row r="351">
      <x:c r="A351" s="16" t="str">
        <x:v>Ohio</x:v>
      </x:c>
      <x:c r="B351" s="16" t="str">
        <x:v>Columbus</x:v>
      </x:c>
      <x:c r="C351" s="16" t="n">
        <x:v>-83.003</x:v>
      </x:c>
      <x:c r="D351" s="16" t="n">
        <x:v>39.964</x:v>
      </x:c>
      <x:c r="E351" s="16" t="str">
        <x:v>Short North Arts District</x:v>
      </x:c>
      <x:c r="F351" s="16" t="str">
        <x:v>Art lovers, food lovers, city explorers</x:v>
      </x:c>
      <x:c r="G351" s="16" t="str">
        <x:v>Galleries, murals, restaurants, and boutiques make a lively urban walk.</x:v>
      </x:c>
      <x:c r="H351" s="16" t="str">
        <x:v>Arts/Culture</x:v>
      </x:c>
      <x:c r="I351" s="16" t="str">
        <x:v>https://www.google.com/search?q=Short%20North%20Arts%20District%20Columbus%20Ohio%20official%20website</x:v>
      </x:c>
      <x:c r="J351" s="16" t="str">
        <x:v>https://www.google.com/search?q=site%3Aohio.org%20Short%20North%20Arts%20District</x:v>
      </x:c>
      <x:c r="K351" s="16" t="str">
        <x:v>https://www.google.com/search?q=Short%20North%20Arts%20District%20Columbus%20Ohio%20visitor%20information</x:v>
      </x:c>
      <x:c r="L351" s="16" t="str">
        <x:v>https://www.google.com/search?q=Short%20North%20Arts%20District%20Columbus%20Ohio%20photos</x:v>
      </x:c>
      <x:c r="M351" s="16" t="str">
        <x:v>https://www.google.com/search?q=Short%20North%20Arts%20District%20Columbus%20Ohio%20wikipedia%20OR%20wikivoyage</x:v>
      </x:c>
      <x:c r="N351" s="16" t="str">
        <x:v>https://www.google.com/maps/search/?api=1&amp;query=Short%20North%20Arts%20District%2C%20Columbus%2C%20Ohio</x:v>
      </x:c>
      <x:c r="O351" s="17" t="b">
        <x:v>1</x:v>
      </x:c>
      <x:c r="P351" s="16" t="b">
        <x:f>IFERROR(VLOOKUP(A351,States!$A$2:$B$18,2,FALSE),FALSE)</x:f>
        <x:v>1</x:v>
      </x:c>
      <x:c r="Q351" s="16" t="b">
        <x:f>AND(OR(O351=TRUE,O351="TRUE"),OR(P351=TRUE,P351="TRUE"))</x:f>
        <x:v>1</x:v>
      </x:c>
    </x:row>
    <x:row r="352">
      <x:c r="A352" s="16" t="str">
        <x:v>Michigan</x:v>
      </x:c>
      <x:c r="B352" s="16" t="str">
        <x:v>Ann Arbor</x:v>
      </x:c>
      <x:c r="C352" s="16" t="n">
        <x:v>-83.737</x:v>
      </x:c>
      <x:c r="D352" s="16" t="n">
        <x:v>42.279</x:v>
      </x:c>
      <x:c r="E352" s="16" t="str">
        <x:v>University of Michigan Museum of Art</x:v>
      </x:c>
      <x:c r="F352" s="16" t="str">
        <x:v>Art lovers, college-town travelers</x:v>
      </x:c>
      <x:c r="G352" s="16" t="str">
        <x:v>Strong collections and campus energy make a polished cultural stop.</x:v>
      </x:c>
      <x:c r="H352" s="16" t="str">
        <x:v>Museum</x:v>
      </x:c>
      <x:c r="I352" s="16" t="str">
        <x:v>https://www.google.com/search?q=University%20of%20Michigan%20Museum%20of%20Art%20Ann%20Arbor%20Michigan%20official%20website</x:v>
      </x:c>
      <x:c r="J352" s="16" t="str">
        <x:v>https://www.google.com/search?q=site%3Amichigan.org%20University%20of%20Michigan%20Museum%20of%20Art</x:v>
      </x:c>
      <x:c r="K352" s="16" t="str">
        <x:v>https://www.google.com/search?q=University%20of%20Michigan%20Museum%20of%20Art%20Ann%20Arbor%20Michigan%20visitor%20information</x:v>
      </x:c>
      <x:c r="L352" s="16" t="str">
        <x:v>https://www.google.com/search?q=University%20of%20Michigan%20Museum%20of%20Art%20Ann%20Arbor%20Michigan%20photos</x:v>
      </x:c>
      <x:c r="M352" s="16" t="str">
        <x:v>https://www.google.com/search?q=University%20of%20Michigan%20Museum%20of%20Art%20Ann%20Arbor%20Michigan%20wikipedia%20OR%20wikivoyage</x:v>
      </x:c>
      <x:c r="N352" s="16" t="str">
        <x:v>https://www.google.com/maps/search/?api=1&amp;query=University%20of%20Michigan%20Museum%20of%20Art%2C%20Ann%20Arbor%2C%20Michigan</x:v>
      </x:c>
      <x:c r="O352" s="17" t="b">
        <x:v>1</x:v>
      </x:c>
      <x:c r="P352" s="16" t="b">
        <x:f>IFERROR(VLOOKUP(A352,States!$A$2:$B$18,2,FALSE),FALSE)</x:f>
        <x:v>1</x:v>
      </x:c>
      <x:c r="Q352" s="16" t="b">
        <x:f>AND(OR(O352=TRUE,O352="TRUE"),OR(P352=TRUE,P352="TRUE"))</x:f>
        <x:v>1</x:v>
      </x:c>
    </x:row>
    <x:row r="353">
      <x:c r="A353" s="16" t="str">
        <x:v>Michigan</x:v>
      </x:c>
      <x:c r="B353" s="16" t="str">
        <x:v>Traverse City</x:v>
      </x:c>
      <x:c r="C353" s="16" t="n">
        <x:v>-85.62</x:v>
      </x:c>
      <x:c r="D353" s="16" t="n">
        <x:v>44.763</x:v>
      </x:c>
      <x:c r="E353" s="16" t="str">
        <x:v>Traverse City and Old Mission Peninsula</x:v>
      </x:c>
      <x:c r="F353" s="16" t="str">
        <x:v>Food lovers, couples, scenic drivers</x:v>
      </x:c>
      <x:c r="G353" s="16" t="str">
        <x:v>Lake views, orchards, wineries, and beaches create a signature Michigan stay.</x:v>
      </x:c>
      <x:c r="H353" s="16" t="str">
        <x:v>Food/Drink</x:v>
      </x:c>
      <x:c r="I353" s="16" t="str">
        <x:v>https://www.google.com/search?q=Traverse%20City%20and%20Old%20Mission%20Peninsula%20Traverse%20City%20Michigan%20official%20website</x:v>
      </x:c>
      <x:c r="J353" s="16" t="str">
        <x:v>https://www.google.com/search?q=site%3Amichigan.org%20Traverse%20City%20and%20Old%20Mission%20Peninsula</x:v>
      </x:c>
      <x:c r="K353" s="16" t="str">
        <x:v>https://www.google.com/search?q=Traverse%20City%20and%20Old%20Mission%20Peninsula%20Traverse%20City%20Michigan%20visitor%20information</x:v>
      </x:c>
      <x:c r="L353" s="16" t="str">
        <x:v>https://www.google.com/search?q=Traverse%20City%20and%20Old%20Mission%20Peninsula%20Traverse%20City%20Michigan%20photos</x:v>
      </x:c>
      <x:c r="M353" s="16" t="str">
        <x:v>https://www.google.com/search?q=Traverse%20City%20and%20Old%20Mission%20Peninsula%20Traverse%20City%20Michigan%20wikipedia%20OR%20wikivoyage</x:v>
      </x:c>
      <x:c r="N353" s="16" t="str">
        <x:v>https://www.google.com/maps/search/?api=1&amp;query=Traverse%20City%20and%20Old%20Mission%20Peninsula%2C%20Traverse%20City%2C%20Michigan</x:v>
      </x:c>
      <x:c r="O353" s="17" t="b">
        <x:v>1</x:v>
      </x:c>
      <x:c r="P353" s="16" t="b">
        <x:f>IFERROR(VLOOKUP(A353,States!$A$2:$B$18,2,FALSE),FALSE)</x:f>
        <x:v>1</x:v>
      </x:c>
      <x:c r="Q353" s="16" t="b">
        <x:f>AND(OR(O353=TRUE,O353="TRUE"),OR(P353=TRUE,P353="TRUE"))</x:f>
        <x:v>1</x:v>
      </x:c>
    </x:row>
    <x:row r="354">
      <x:c r="A354" s="16" t="str">
        <x:v>Michigan</x:v>
      </x:c>
      <x:c r="B354" s="16" t="str">
        <x:v>Lansing</x:v>
      </x:c>
      <x:c r="C354" s="16" t="n">
        <x:v>-84.555</x:v>
      </x:c>
      <x:c r="D354" s="16" t="n">
        <x:v>42.733</x:v>
      </x:c>
      <x:c r="E354" s="16" t="str">
        <x:v>Michigan State Capitol</x:v>
      </x:c>
      <x:c r="F354" s="16" t="str">
        <x:v>Architecture fans, history travelers</x:v>
      </x:c>
      <x:c r="G354" s="16" t="str">
        <x:v>A restored capitol anchors Lansing's civic history.</x:v>
      </x:c>
      <x:c r="H354" s="16" t="str">
        <x:v>Architecture</x:v>
      </x:c>
      <x:c r="I354" s="16" t="str">
        <x:v>https://www.google.com/search?q=Michigan%20State%20Capitol%20Lansing%20Michigan%20official%20website</x:v>
      </x:c>
      <x:c r="J354" s="16" t="str">
        <x:v>https://www.google.com/search?q=site%3Amichigan.org%20Michigan%20State%20Capitol</x:v>
      </x:c>
      <x:c r="K354" s="16" t="str">
        <x:v>https://www.google.com/search?q=Michigan%20State%20Capitol%20Lansing%20Michigan%20visitor%20information</x:v>
      </x:c>
      <x:c r="L354" s="16" t="str">
        <x:v>https://www.google.com/search?q=Michigan%20State%20Capitol%20Lansing%20Michigan%20photos</x:v>
      </x:c>
      <x:c r="M354" s="16" t="str">
        <x:v>https://www.google.com/search?q=Michigan%20State%20Capitol%20Lansing%20Michigan%20wikipedia%20OR%20wikivoyage</x:v>
      </x:c>
      <x:c r="N354" s="16" t="str">
        <x:v>https://www.google.com/maps/search/?api=1&amp;query=Michigan%20State%20Capitol%2C%20Lansing%2C%20Michigan</x:v>
      </x:c>
      <x:c r="O354" s="17" t="b">
        <x:v>1</x:v>
      </x:c>
      <x:c r="P354" s="16" t="b">
        <x:f>IFERROR(VLOOKUP(A354,States!$A$2:$B$18,2,FALSE),FALSE)</x:f>
        <x:v>1</x:v>
      </x:c>
      <x:c r="Q354" s="16" t="b">
        <x:f>AND(OR(O354=TRUE,O354="TRUE"),OR(P354=TRUE,P354="TRUE"))</x:f>
        <x:v>1</x:v>
      </x:c>
    </x:row>
    <x:row r="355">
      <x:c r="A355" s="16" t="str">
        <x:v>Michigan</x:v>
      </x:c>
      <x:c r="B355" s="16" t="str">
        <x:v>Kalamazoo</x:v>
      </x:c>
      <x:c r="C355" s="16" t="n">
        <x:v>-85.561</x:v>
      </x:c>
      <x:c r="D355" s="16" t="n">
        <x:v>42.234</x:v>
      </x:c>
      <x:c r="E355" s="16" t="str">
        <x:v>Air Zoo Aerospace and Science Museum</x:v>
      </x:c>
      <x:c r="F355" s="16" t="str">
        <x:v>Aviation fans, families</x:v>
      </x:c>
      <x:c r="G355" s="16" t="str">
        <x:v>Aircraft, simulators, and science exhibits make aviation hands-on.</x:v>
      </x:c>
      <x:c r="H355" s="16" t="str">
        <x:v>Museum</x:v>
      </x:c>
      <x:c r="I355" s="16" t="str">
        <x:v>https://www.google.com/search?q=Air%20Zoo%20Aerospace%20and%20Science%20Museum%20Kalamazoo%20Michigan%20official%20website</x:v>
      </x:c>
      <x:c r="J355" s="16" t="str">
        <x:v>https://www.google.com/search?q=site%3Amichigan.org%20Air%20Zoo%20Aerospace%20and%20Science%20Museum</x:v>
      </x:c>
      <x:c r="K355" s="16" t="str">
        <x:v>https://www.google.com/search?q=Air%20Zoo%20Aerospace%20and%20Science%20Museum%20Kalamazoo%20Michigan%20visitor%20information</x:v>
      </x:c>
      <x:c r="L355" s="16" t="str">
        <x:v>https://www.google.com/search?q=Air%20Zoo%20Aerospace%20and%20Science%20Museum%20Kalamazoo%20Michigan%20photos</x:v>
      </x:c>
      <x:c r="M355" s="16" t="str">
        <x:v>https://www.google.com/search?q=Air%20Zoo%20Aerospace%20and%20Science%20Museum%20Kalamazoo%20Michigan%20wikipedia%20OR%20wikivoyage</x:v>
      </x:c>
      <x:c r="N355" s="16" t="str">
        <x:v>https://www.google.com/maps/search/?api=1&amp;query=Air%20Zoo%20Aerospace%20and%20Science%20Museum%2C%20Kalamazoo%2C%20Michigan</x:v>
      </x:c>
      <x:c r="O355" s="17" t="b">
        <x:v>1</x:v>
      </x:c>
      <x:c r="P355" s="16" t="b">
        <x:f>IFERROR(VLOOKUP(A355,States!$A$2:$B$18,2,FALSE),FALSE)</x:f>
        <x:v>1</x:v>
      </x:c>
      <x:c r="Q355" s="16" t="b">
        <x:f>AND(OR(O355=TRUE,O355="TRUE"),OR(P355=TRUE,P355="TRUE"))</x:f>
        <x:v>1</x:v>
      </x:c>
    </x:row>
    <x:row r="356">
      <x:c r="A356" s="16" t="str">
        <x:v>Michigan</x:v>
      </x:c>
      <x:c r="B356" s="16" t="str">
        <x:v>Flint</x:v>
      </x:c>
      <x:c r="C356" s="16" t="n">
        <x:v>-83.771</x:v>
      </x:c>
      <x:c r="D356" s="16" t="n">
        <x:v>43.016</x:v>
      </x:c>
      <x:c r="E356" s="16" t="str">
        <x:v>Crossroads Village and Huckleberry Railroad</x:v>
      </x:c>
      <x:c r="F356" s="16" t="str">
        <x:v>Families, train fans</x:v>
      </x:c>
      <x:c r="G356" s="16" t="str">
        <x:v>Historic village exhibits and a heritage railroad create a nostalgic outing.</x:v>
      </x:c>
      <x:c r="H356" s="16" t="str">
        <x:v>Living History</x:v>
      </x:c>
      <x:c r="I356" s="16" t="str">
        <x:v>https://www.google.com/search?q=Crossroads%20Village%20and%20Huckleberry%20Railroad%20Flint%20Michigan%20official%20website</x:v>
      </x:c>
      <x:c r="J356" s="16" t="str">
        <x:v>https://www.google.com/search?q=site%3Amichigan.org%20Crossroads%20Village%20and%20Huckleberry%20Railroad</x:v>
      </x:c>
      <x:c r="K356" s="16" t="str">
        <x:v>https://www.google.com/search?q=Crossroads%20Village%20and%20Huckleberry%20Railroad%20Flint%20Michigan%20visitor%20information</x:v>
      </x:c>
      <x:c r="L356" s="16" t="str">
        <x:v>https://www.google.com/search?q=Crossroads%20Village%20and%20Huckleberry%20Railroad%20Flint%20Michigan%20photos</x:v>
      </x:c>
      <x:c r="M356" s="16" t="str">
        <x:v>https://www.google.com/search?q=Crossroads%20Village%20and%20Huckleberry%20Railroad%20Flint%20Michigan%20wikipedia%20OR%20wikivoyage</x:v>
      </x:c>
      <x:c r="N356" s="16" t="str">
        <x:v>https://www.google.com/maps/search/?api=1&amp;query=Crossroads%20Village%20and%20Huckleberry%20Railroad%2C%20Flint%2C%20Michigan</x:v>
      </x:c>
      <x:c r="O356" s="17" t="b">
        <x:v>1</x:v>
      </x:c>
      <x:c r="P356" s="16" t="b">
        <x:f>IFERROR(VLOOKUP(A356,States!$A$2:$B$18,2,FALSE),FALSE)</x:f>
        <x:v>1</x:v>
      </x:c>
      <x:c r="Q356" s="16" t="b">
        <x:f>AND(OR(O356=TRUE,O356="TRUE"),OR(P356=TRUE,P356="TRUE"))</x:f>
        <x:v>1</x:v>
      </x:c>
    </x:row>
    <x:row r="357">
      <x:c r="A357" s="16" t="str">
        <x:v>Michigan</x:v>
      </x:c>
      <x:c r="B357" s="16" t="str">
        <x:v>Ludington</x:v>
      </x:c>
      <x:c r="C357" s="16" t="n">
        <x:v>-86.51</x:v>
      </x:c>
      <x:c r="D357" s="16" t="n">
        <x:v>44.032</x:v>
      </x:c>
      <x:c r="E357" s="16" t="str">
        <x:v>Ludington State Park</x:v>
      </x:c>
      <x:c r="F357" s="16" t="str">
        <x:v>Beachgoers, families, hikers</x:v>
      </x:c>
      <x:c r="G357" s="16" t="str">
        <x:v>Dunes, beaches, lighthouse trails, and inland water make a versatile park.</x:v>
      </x:c>
      <x:c r="H357" s="16" t="str">
        <x:v>Nature</x:v>
      </x:c>
      <x:c r="I357" s="16" t="str">
        <x:v>https://www.google.com/search?q=Ludington%20State%20Park%20Ludington%20Michigan%20official%20website</x:v>
      </x:c>
      <x:c r="J357" s="16" t="str">
        <x:v>https://www.google.com/search?q=site%3Amichigan.org%20Ludington%20State%20Park</x:v>
      </x:c>
      <x:c r="K357" s="16" t="str">
        <x:v>https://www.google.com/search?q=Ludington%20State%20Park%20Ludington%20Michigan%20visitor%20information</x:v>
      </x:c>
      <x:c r="L357" s="16" t="str">
        <x:v>https://www.google.com/search?q=Ludington%20State%20Park%20Ludington%20Michigan%20photos</x:v>
      </x:c>
      <x:c r="M357" s="16" t="str">
        <x:v>https://www.google.com/search?q=Ludington%20State%20Park%20Ludington%20Michigan%20wikipedia%20OR%20wikivoyage</x:v>
      </x:c>
      <x:c r="N357" s="16" t="str">
        <x:v>https://www.google.com/maps/search/?api=1&amp;query=Ludington%20State%20Park%2C%20Ludington%2C%20Michigan</x:v>
      </x:c>
      <x:c r="O357" s="17" t="b">
        <x:v>1</x:v>
      </x:c>
      <x:c r="P357" s="16" t="b">
        <x:f>IFERROR(VLOOKUP(A357,States!$A$2:$B$18,2,FALSE),FALSE)</x:f>
        <x:v>1</x:v>
      </x:c>
      <x:c r="Q357" s="16" t="b">
        <x:f>AND(OR(O357=TRUE,O357="TRUE"),OR(P357=TRUE,P357="TRUE"))</x:f>
        <x:v>1</x:v>
      </x:c>
    </x:row>
    <x:row r="358">
      <x:c r="A358" s="16" t="str">
        <x:v>Michigan</x:v>
      </x:c>
      <x:c r="B358" s="16" t="str">
        <x:v>Marshall</x:v>
      </x:c>
      <x:c r="C358" s="16" t="n">
        <x:v>-84.964</x:v>
      </x:c>
      <x:c r="D358" s="16" t="n">
        <x:v>42.272</x:v>
      </x:c>
      <x:c r="E358" s="16" t="str">
        <x:v>Honolulu House Museum</x:v>
      </x:c>
      <x:c r="F358" s="16" t="str">
        <x:v>Architecture fans, history travelers</x:v>
      </x:c>
      <x:c r="G358" s="16" t="str">
        <x:v>A distinctive Italianate and Polynesian-inspired house surprises in small-town Michigan.</x:v>
      </x:c>
      <x:c r="H358" s="16" t="str">
        <x:v>Historic Site</x:v>
      </x:c>
      <x:c r="I358" s="16" t="str">
        <x:v>https://www.google.com/search?q=Honolulu%20House%20Museum%20Marshall%20Michigan%20official%20website</x:v>
      </x:c>
      <x:c r="J358" s="16" t="str">
        <x:v>https://www.google.com/search?q=site%3Amichigan.org%20Honolulu%20House%20Museum</x:v>
      </x:c>
      <x:c r="K358" s="16" t="str">
        <x:v>https://www.google.com/search?q=Honolulu%20House%20Museum%20Marshall%20Michigan%20visitor%20information</x:v>
      </x:c>
      <x:c r="L358" s="16" t="str">
        <x:v>https://www.google.com/search?q=Honolulu%20House%20Museum%20Marshall%20Michigan%20photos</x:v>
      </x:c>
      <x:c r="M358" s="16" t="str">
        <x:v>https://www.google.com/search?q=Honolulu%20House%20Museum%20Marshall%20Michigan%20wikipedia%20OR%20wikivoyage</x:v>
      </x:c>
      <x:c r="N358" s="16" t="str">
        <x:v>https://www.google.com/maps/search/?api=1&amp;query=Honolulu%20House%20Museum%2C%20Marshall%2C%20Michigan</x:v>
      </x:c>
      <x:c r="O358" s="17" t="b">
        <x:v>1</x:v>
      </x:c>
      <x:c r="P358" s="16" t="b">
        <x:f>IFERROR(VLOOKUP(A358,States!$A$2:$B$18,2,FALSE),FALSE)</x:f>
        <x:v>1</x:v>
      </x:c>
      <x:c r="Q358" s="16" t="b">
        <x:f>AND(OR(O358=TRUE,O358="TRUE"),OR(P358=TRUE,P358="TRUE"))</x:f>
        <x:v>1</x:v>
      </x:c>
    </x:row>
    <x:row r="359">
      <x:c r="A359" s="16" t="str">
        <x:v>Michigan</x:v>
      </x:c>
      <x:c r="B359" s="16" t="str">
        <x:v>Harrisville</x:v>
      </x:c>
      <x:c r="C359" s="16" t="n">
        <x:v>-83.321</x:v>
      </x:c>
      <x:c r="D359" s="16" t="n">
        <x:v>44.607</x:v>
      </x:c>
      <x:c r="E359" s="16" t="str">
        <x:v>Huron-Manistee National Forests</x:v>
      </x:c>
      <x:c r="F359" s="16" t="str">
        <x:v>Campers, hikers, anglers</x:v>
      </x:c>
      <x:c r="G359" s="16" t="str">
        <x:v>Forests, rivers, and Lake Huron access support quieter outdoor detours.</x:v>
      </x:c>
      <x:c r="H359" s="16" t="str">
        <x:v>Nature</x:v>
      </x:c>
      <x:c r="I359" s="16" t="str">
        <x:v>https://www.google.com/search?q=Huron-Manistee%20National%20Forests%20Harrisville%20Michigan%20official%20website</x:v>
      </x:c>
      <x:c r="J359" s="16" t="str">
        <x:v>https://www.google.com/search?q=site%3Amichigan.org%20Huron-Manistee%20National%20Forests</x:v>
      </x:c>
      <x:c r="K359" s="16" t="str">
        <x:v>https://www.google.com/search?q=Huron-Manistee%20National%20Forests%20Harrisville%20Michigan%20visitor%20information</x:v>
      </x:c>
      <x:c r="L359" s="16" t="str">
        <x:v>https://www.google.com/search?q=Huron-Manistee%20National%20Forests%20Harrisville%20Michigan%20photos</x:v>
      </x:c>
      <x:c r="M359" s="16" t="str">
        <x:v>https://www.google.com/search?q=Huron-Manistee%20National%20Forests%20Harrisville%20Michigan%20wikipedia%20OR%20wikivoyage</x:v>
      </x:c>
      <x:c r="N359" s="16" t="str">
        <x:v>https://www.google.com/maps/search/?api=1&amp;query=Huron-Manistee%20National%20Forests%2C%20Harrisville%2C%20Michigan</x:v>
      </x:c>
      <x:c r="O359" s="17" t="b">
        <x:v>1</x:v>
      </x:c>
      <x:c r="P359" s="16" t="b">
        <x:f>IFERROR(VLOOKUP(A359,States!$A$2:$B$18,2,FALSE),FALSE)</x:f>
        <x:v>1</x:v>
      </x:c>
      <x:c r="Q359" s="16" t="b">
        <x:f>AND(OR(O359=TRUE,O359="TRUE"),OR(P359=TRUE,P359="TRUE"))</x:f>
        <x:v>1</x:v>
      </x:c>
    </x:row>
    <x:row r="360">
      <x:c r="A360" s="16" t="str">
        <x:v>Michigan</x:v>
      </x:c>
      <x:c r="B360" s="16" t="str">
        <x:v>Grand Rapids</x:v>
      </x:c>
      <x:c r="C360" s="16" t="n">
        <x:v>-85.67</x:v>
      </x:c>
      <x:c r="D360" s="16" t="n">
        <x:v>42.963</x:v>
      </x:c>
      <x:c r="E360" s="16" t="str">
        <x:v>Gerald R. Ford Presidential Museum</x:v>
      </x:c>
      <x:c r="F360" s="16" t="str">
        <x:v>History buffs, families</x:v>
      </x:c>
      <x:c r="G360" s="16" t="str">
        <x:v>Presidential exhibits add national history to a Grand Rapids visit.</x:v>
      </x:c>
      <x:c r="H360" s="16" t="str">
        <x:v>Museum</x:v>
      </x:c>
      <x:c r="I360" s="16" t="str">
        <x:v>https://www.google.com/search?q=Gerald%20R.%20Ford%20Presidential%20Museum%20Grand%20Rapids%20Michigan%20official%20website</x:v>
      </x:c>
      <x:c r="J360" s="16" t="str">
        <x:v>https://www.google.com/search?q=site%3Amichigan.org%20Gerald%20R.%20Ford%20Presidential%20Museum</x:v>
      </x:c>
      <x:c r="K360" s="16" t="str">
        <x:v>https://www.google.com/search?q=Gerald%20R.%20Ford%20Presidential%20Museum%20Grand%20Rapids%20Michigan%20visitor%20information</x:v>
      </x:c>
      <x:c r="L360" s="16" t="str">
        <x:v>https://www.google.com/search?q=Gerald%20R.%20Ford%20Presidential%20Museum%20Grand%20Rapids%20Michigan%20photos</x:v>
      </x:c>
      <x:c r="M360" s="16" t="str">
        <x:v>https://www.google.com/search?q=Gerald%20R.%20Ford%20Presidential%20Museum%20Grand%20Rapids%20Michigan%20wikipedia%20OR%20wikivoyage</x:v>
      </x:c>
      <x:c r="N360" s="16" t="str">
        <x:v>https://www.google.com/maps/search/?api=1&amp;query=Gerald%20R.%20Ford%20Presidential%20Museum%2C%20Grand%20Rapids%2C%20Michigan</x:v>
      </x:c>
      <x:c r="O360" s="17" t="b">
        <x:v>1</x:v>
      </x:c>
      <x:c r="P360" s="16" t="b">
        <x:f>IFERROR(VLOOKUP(A360,States!$A$2:$B$18,2,FALSE),FALSE)</x:f>
        <x:v>1</x:v>
      </x:c>
      <x:c r="Q360" s="16" t="b">
        <x:f>AND(OR(O360=TRUE,O360="TRUE"),OR(P360=TRUE,P360="TRUE"))</x:f>
        <x:v>1</x:v>
      </x:c>
    </x:row>
    <x:row r="361">
      <x:c r="A361" s="16" t="str">
        <x:v>Michigan</x:v>
      </x:c>
      <x:c r="B361" s="16" t="str">
        <x:v>Detroit</x:v>
      </x:c>
      <x:c r="C361" s="16" t="n">
        <x:v>-83.046</x:v>
      </x:c>
      <x:c r="D361" s="16" t="n">
        <x:v>42.339</x:v>
      </x:c>
      <x:c r="E361" s="16" t="str">
        <x:v>Comerica Park</x:v>
      </x:c>
      <x:c r="F361" s="16" t="str">
        <x:v>Baseball fans, families</x:v>
      </x:c>
      <x:c r="G361" s="16" t="str">
        <x:v>Downtown ballpark energy fits Detroit's sports-and-culture corridor.</x:v>
      </x:c>
      <x:c r="H361" s="16" t="str">
        <x:v>Sports</x:v>
      </x:c>
      <x:c r="I361" s="16" t="str">
        <x:v>https://www.google.com/search?q=Comerica%20Park%20Detroit%20Michigan%20official%20website</x:v>
      </x:c>
      <x:c r="J361" s="16" t="str">
        <x:v>https://www.google.com/search?q=site%3Amichigan.org%20Comerica%20Park</x:v>
      </x:c>
      <x:c r="K361" s="16" t="str">
        <x:v>https://www.google.com/search?q=Comerica%20Park%20Detroit%20Michigan%20visitor%20information</x:v>
      </x:c>
      <x:c r="L361" s="16" t="str">
        <x:v>https://www.google.com/search?q=Comerica%20Park%20Detroit%20Michigan%20photos</x:v>
      </x:c>
      <x:c r="M361" s="16" t="str">
        <x:v>https://www.google.com/search?q=Comerica%20Park%20Detroit%20Michigan%20wikipedia%20OR%20wikivoyage</x:v>
      </x:c>
      <x:c r="N361" s="16" t="str">
        <x:v>https://www.google.com/maps/search/?api=1&amp;query=Comerica%20Park%2C%20Detroit%2C%20Michigan</x:v>
      </x:c>
      <x:c r="O361" s="17" t="b">
        <x:v>1</x:v>
      </x:c>
      <x:c r="P361" s="16" t="b">
        <x:f>IFERROR(VLOOKUP(A361,States!$A$2:$B$18,2,FALSE),FALSE)</x:f>
        <x:v>1</x:v>
      </x:c>
      <x:c r="Q361" s="16" t="b">
        <x:f>AND(OR(O361=TRUE,O361="TRUE"),OR(P361=TRUE,P361="TRUE"))</x:f>
        <x:v>1</x:v>
      </x:c>
    </x:row>
    <x:row r="362">
      <x:c r="A362" s="16" t="str">
        <x:v>Indiana</x:v>
      </x:c>
      <x:c r="B362" s="16" t="str">
        <x:v>Indianapolis</x:v>
      </x:c>
      <x:c r="C362" s="16" t="n">
        <x:v>-86.148</x:v>
      </x:c>
      <x:c r="D362" s="16" t="n">
        <x:v>39.768</x:v>
      </x:c>
      <x:c r="E362" s="16" t="str">
        <x:v>Monument Circle</x:v>
      </x:c>
      <x:c r="F362" s="16" t="str">
        <x:v>Architecture fans, city explorers</x:v>
      </x:c>
      <x:c r="G362" s="16" t="str">
        <x:v>The Soldiers and Sailors Monument anchors the capital's downtown core.</x:v>
      </x:c>
      <x:c r="H362" s="16" t="str">
        <x:v>Landmark</x:v>
      </x:c>
      <x:c r="I362" s="16" t="str">
        <x:v>https://www.google.com/search?q=Monument%20Circle%20Indianapolis%20Indiana%20official%20website</x:v>
      </x:c>
      <x:c r="J362" s="16" t="str">
        <x:v>https://www.google.com/search?q=site%3Avisitindiana.com%20Monument%20Circle</x:v>
      </x:c>
      <x:c r="K362" s="16" t="str">
        <x:v>https://www.google.com/search?q=Monument%20Circle%20Indianapolis%20Indiana%20visitor%20information</x:v>
      </x:c>
      <x:c r="L362" s="16" t="str">
        <x:v>https://www.google.com/search?q=Monument%20Circle%20Indianapolis%20Indiana%20photos</x:v>
      </x:c>
      <x:c r="M362" s="16" t="str">
        <x:v>https://www.google.com/search?q=Monument%20Circle%20Indianapolis%20Indiana%20wikipedia%20OR%20wikivoyage</x:v>
      </x:c>
      <x:c r="N362" s="16" t="str">
        <x:v>https://www.google.com/maps/search/?api=1&amp;query=Monument%20Circle%2C%20Indianapolis%2C%20Indiana</x:v>
      </x:c>
      <x:c r="O362" s="17" t="b">
        <x:v>1</x:v>
      </x:c>
      <x:c r="P362" s="16" t="b">
        <x:f>IFERROR(VLOOKUP(A362,States!$A$2:$B$18,2,FALSE),FALSE)</x:f>
        <x:v>1</x:v>
      </x:c>
      <x:c r="Q362" s="16" t="b">
        <x:f>AND(OR(O362=TRUE,O362="TRUE"),OR(P362=TRUE,P362="TRUE"))</x:f>
        <x:v>1</x:v>
      </x:c>
    </x:row>
    <x:row r="363">
      <x:c r="A363" s="16" t="str">
        <x:v>Indiana</x:v>
      </x:c>
      <x:c r="B363" s="16" t="str">
        <x:v>Indianapolis</x:v>
      </x:c>
      <x:c r="C363" s="16" t="n">
        <x:v>-86.171</x:v>
      </x:c>
      <x:c r="D363" s="16" t="n">
        <x:v>39.771</x:v>
      </x:c>
      <x:c r="E363" s="16" t="str">
        <x:v>White River State Park</x:v>
      </x:c>
      <x:c r="F363" s="16" t="str">
        <x:v>Families, walkers, museum visitors</x:v>
      </x:c>
      <x:c r="G363" s="16" t="str">
        <x:v>Museums, trails, canals, and event spaces cluster downtown.</x:v>
      </x:c>
      <x:c r="H363" s="16" t="str">
        <x:v>Urban Park</x:v>
      </x:c>
      <x:c r="I363" s="16" t="str">
        <x:v>https://www.google.com/search?q=White%20River%20State%20Park%20Indianapolis%20Indiana%20official%20website</x:v>
      </x:c>
      <x:c r="J363" s="16" t="str">
        <x:v>https://www.google.com/search?q=site%3Avisitindiana.com%20White%20River%20State%20Park</x:v>
      </x:c>
      <x:c r="K363" s="16" t="str">
        <x:v>https://www.google.com/search?q=White%20River%20State%20Park%20Indianapolis%20Indiana%20visitor%20information</x:v>
      </x:c>
      <x:c r="L363" s="16" t="str">
        <x:v>https://www.google.com/search?q=White%20River%20State%20Park%20Indianapolis%20Indiana%20photos</x:v>
      </x:c>
      <x:c r="M363" s="16" t="str">
        <x:v>https://www.google.com/search?q=White%20River%20State%20Park%20Indianapolis%20Indiana%20wikipedia%20OR%20wikivoyage</x:v>
      </x:c>
      <x:c r="N363" s="16" t="str">
        <x:v>https://www.google.com/maps/search/?api=1&amp;query=White%20River%20State%20Park%2C%20Indianapolis%2C%20Indiana</x:v>
      </x:c>
      <x:c r="O363" s="17" t="b">
        <x:v>1</x:v>
      </x:c>
      <x:c r="P363" s="16" t="b">
        <x:f>IFERROR(VLOOKUP(A363,States!$A$2:$B$18,2,FALSE),FALSE)</x:f>
        <x:v>1</x:v>
      </x:c>
      <x:c r="Q363" s="16" t="b">
        <x:f>AND(OR(O363=TRUE,O363="TRUE"),OR(P363=TRUE,P363="TRUE"))</x:f>
        <x:v>1</x:v>
      </x:c>
    </x:row>
    <x:row r="364">
      <x:c r="A364" s="16" t="str">
        <x:v>Indiana</x:v>
      </x:c>
      <x:c r="B364" s="16" t="str">
        <x:v>Elkhart</x:v>
      </x:c>
      <x:c r="C364" s="16" t="n">
        <x:v>-85.977</x:v>
      </x:c>
      <x:c r="D364" s="16" t="n">
        <x:v>41.683</x:v>
      </x:c>
      <x:c r="E364" s="16" t="str">
        <x:v>RV/MH Hall of Fame</x:v>
      </x:c>
      <x:c r="F364" s="16" t="str">
        <x:v>Road trippers, design-history fans</x:v>
      </x:c>
      <x:c r="G364" s="16" t="str">
        <x:v>Vintage RVs and industry history fit a travel-planning itinerary.</x:v>
      </x:c>
      <x:c r="H364" s="16" t="str">
        <x:v>Museum</x:v>
      </x:c>
      <x:c r="I364" s="16" t="str">
        <x:v>https://www.google.com/search?q=RV%2FMH%20Hall%20of%20Fame%20Elkhart%20Indiana%20official%20website</x:v>
      </x:c>
      <x:c r="J364" s="16" t="str">
        <x:v>https://www.google.com/search?q=site%3Avisitindiana.com%20RV%2FMH%20Hall%20of%20Fame</x:v>
      </x:c>
      <x:c r="K364" s="16" t="str">
        <x:v>https://www.google.com/search?q=RV%2FMH%20Hall%20of%20Fame%20Elkhart%20Indiana%20visitor%20information</x:v>
      </x:c>
      <x:c r="L364" s="16" t="str">
        <x:v>https://www.google.com/search?q=RV%2FMH%20Hall%20of%20Fame%20Elkhart%20Indiana%20photos</x:v>
      </x:c>
      <x:c r="M364" s="16" t="str">
        <x:v>https://www.google.com/search?q=RV%2FMH%20Hall%20of%20Fame%20Elkhart%20Indiana%20wikipedia%20OR%20wikivoyage</x:v>
      </x:c>
      <x:c r="N364" s="16" t="str">
        <x:v>https://www.google.com/maps/search/?api=1&amp;query=RV%2FMH%20Hall%20of%20Fame%2C%20Elkhart%2C%20Indiana</x:v>
      </x:c>
      <x:c r="O364" s="17" t="b">
        <x:v>1</x:v>
      </x:c>
      <x:c r="P364" s="16" t="b">
        <x:f>IFERROR(VLOOKUP(A364,States!$A$2:$B$18,2,FALSE),FALSE)</x:f>
        <x:v>1</x:v>
      </x:c>
      <x:c r="Q364" s="16" t="b">
        <x:f>AND(OR(O364=TRUE,O364="TRUE"),OR(P364=TRUE,P364="TRUE"))</x:f>
        <x:v>1</x:v>
      </x:c>
    </x:row>
    <x:row r="365">
      <x:c r="A365" s="16" t="str">
        <x:v>Indiana</x:v>
      </x:c>
      <x:c r="B365" s="16" t="str">
        <x:v>Columbus</x:v>
      </x:c>
      <x:c r="C365" s="16" t="n">
        <x:v>-85.921</x:v>
      </x:c>
      <x:c r="D365" s="16" t="n">
        <x:v>39.201</x:v>
      </x:c>
      <x:c r="E365" s="16" t="str">
        <x:v>Columbus Architecture Tours</x:v>
      </x:c>
      <x:c r="F365" s="16" t="str">
        <x:v>Architecture fans, design travelers</x:v>
      </x:c>
      <x:c r="G365" s="16" t="str">
        <x:v>Modernist civic and church architecture makes the city nationally distinctive.</x:v>
      </x:c>
      <x:c r="H365" s="16" t="str">
        <x:v>Architecture</x:v>
      </x:c>
      <x:c r="I365" s="16" t="str">
        <x:v>https://www.google.com/search?q=Columbus%20Architecture%20Tours%20Columbus%20Indiana%20official%20website</x:v>
      </x:c>
      <x:c r="J365" s="16" t="str">
        <x:v>https://www.google.com/search?q=site%3Avisitindiana.com%20Columbus%20Architecture%20Tours</x:v>
      </x:c>
      <x:c r="K365" s="16" t="str">
        <x:v>https://www.google.com/search?q=Columbus%20Architecture%20Tours%20Columbus%20Indiana%20visitor%20information</x:v>
      </x:c>
      <x:c r="L365" s="16" t="str">
        <x:v>https://www.google.com/search?q=Columbus%20Architecture%20Tours%20Columbus%20Indiana%20photos</x:v>
      </x:c>
      <x:c r="M365" s="16" t="str">
        <x:v>https://www.google.com/search?q=Columbus%20Architecture%20Tours%20Columbus%20Indiana%20wikipedia%20OR%20wikivoyage</x:v>
      </x:c>
      <x:c r="N365" s="16" t="str">
        <x:v>https://www.google.com/maps/search/?api=1&amp;query=Columbus%20Architecture%20Tours%2C%20Columbus%2C%20Indiana</x:v>
      </x:c>
      <x:c r="O365" s="17" t="b">
        <x:v>1</x:v>
      </x:c>
      <x:c r="P365" s="16" t="b">
        <x:f>IFERROR(VLOOKUP(A365,States!$A$2:$B$18,2,FALSE),FALSE)</x:f>
        <x:v>1</x:v>
      </x:c>
      <x:c r="Q365" s="16" t="b">
        <x:f>AND(OR(O365=TRUE,O365="TRUE"),OR(P365=TRUE,P365="TRUE"))</x:f>
        <x:v>1</x:v>
      </x:c>
    </x:row>
    <x:row r="366">
      <x:c r="A366" s="16" t="str">
        <x:v>Indiana</x:v>
      </x:c>
      <x:c r="B366" s="16" t="str">
        <x:v>Shipshewana</x:v>
      </x:c>
      <x:c r="C366" s="16" t="n">
        <x:v>-85.581</x:v>
      </x:c>
      <x:c r="D366" s="16" t="n">
        <x:v>41.672</x:v>
      </x:c>
      <x:c r="E366" s="16" t="str">
        <x:v>Shipshewana Flea Market and Amish Country</x:v>
      </x:c>
      <x:c r="F366" s="16" t="str">
        <x:v>Food lovers, shoppers, scenic drivers</x:v>
      </x:c>
      <x:c r="G366" s="16" t="str">
        <x:v>Markets, farms, and craft traditions create a relaxed rural stop.</x:v>
      </x:c>
      <x:c r="H366" s="16" t="str">
        <x:v>Food/Market</x:v>
      </x:c>
      <x:c r="I366" s="16" t="str">
        <x:v>https://www.google.com/search?q=Shipshewana%20Flea%20Market%20and%20Amish%20Country%20Shipshewana%20Indiana%20official%20website</x:v>
      </x:c>
      <x:c r="J366" s="16" t="str">
        <x:v>https://www.google.com/search?q=site%3Avisitindiana.com%20Shipshewana%20Flea%20Market%20and%20Amish%20Country</x:v>
      </x:c>
      <x:c r="K366" s="16" t="str">
        <x:v>https://www.google.com/search?q=Shipshewana%20Flea%20Market%20and%20Amish%20Country%20Shipshewana%20Indiana%20visitor%20information</x:v>
      </x:c>
      <x:c r="L366" s="16" t="str">
        <x:v>https://www.google.com/search?q=Shipshewana%20Flea%20Market%20and%20Amish%20Country%20Shipshewana%20Indiana%20photos</x:v>
      </x:c>
      <x:c r="M366" s="16" t="str">
        <x:v>https://www.google.com/search?q=Shipshewana%20Flea%20Market%20and%20Amish%20Country%20Shipshewana%20Indiana%20wikipedia%20OR%20wikivoyage</x:v>
      </x:c>
      <x:c r="N366" s="16" t="str">
        <x:v>https://www.google.com/maps/search/?api=1&amp;query=Shipshewana%20Flea%20Market%20and%20Amish%20Country%2C%20Shipshewana%2C%20Indiana</x:v>
      </x:c>
      <x:c r="O366" s="17" t="b">
        <x:v>1</x:v>
      </x:c>
      <x:c r="P366" s="16" t="b">
        <x:f>IFERROR(VLOOKUP(A366,States!$A$2:$B$18,2,FALSE),FALSE)</x:f>
        <x:v>1</x:v>
      </x:c>
      <x:c r="Q366" s="16" t="b">
        <x:f>AND(OR(O366=TRUE,O366="TRUE"),OR(P366=TRUE,P366="TRUE"))</x:f>
        <x:v>1</x:v>
      </x:c>
    </x:row>
    <x:row r="367">
      <x:c r="A367" s="16" t="str">
        <x:v>Indiana</x:v>
      </x:c>
      <x:c r="B367" s="16" t="str">
        <x:v>Corydon</x:v>
      </x:c>
      <x:c r="C367" s="16" t="n">
        <x:v>-86.126</x:v>
      </x:c>
      <x:c r="D367" s="16" t="n">
        <x:v>38.212</x:v>
      </x:c>
      <x:c r="E367" s="16" t="str">
        <x:v>Corydon Capitol State Historic Site</x:v>
      </x:c>
      <x:c r="F367" s="16" t="str">
        <x:v>History travelers, families</x:v>
      </x:c>
      <x:c r="G367" s="16" t="str">
        <x:v>Indiana's first state capital preserves early statehood stories.</x:v>
      </x:c>
      <x:c r="H367" s="16" t="str">
        <x:v>Historic Site</x:v>
      </x:c>
      <x:c r="I367" s="16" t="str">
        <x:v>https://www.google.com/search?q=Corydon%20Capitol%20State%20Historic%20Site%20Corydon%20Indiana%20official%20website</x:v>
      </x:c>
      <x:c r="J367" s="16" t="str">
        <x:v>https://www.google.com/search?q=site%3Avisitindiana.com%20Corydon%20Capitol%20State%20Historic%20Site</x:v>
      </x:c>
      <x:c r="K367" s="16" t="str">
        <x:v>https://www.google.com/search?q=Corydon%20Capitol%20State%20Historic%20Site%20Corydon%20Indiana%20visitor%20information</x:v>
      </x:c>
      <x:c r="L367" s="16" t="str">
        <x:v>https://www.google.com/search?q=Corydon%20Capitol%20State%20Historic%20Site%20Corydon%20Indiana%20photos</x:v>
      </x:c>
      <x:c r="M367" s="16" t="str">
        <x:v>https://www.google.com/search?q=Corydon%20Capitol%20State%20Historic%20Site%20Corydon%20Indiana%20wikipedia%20OR%20wikivoyage</x:v>
      </x:c>
      <x:c r="N367" s="16" t="str">
        <x:v>https://www.google.com/maps/search/?api=1&amp;query=Corydon%20Capitol%20State%20Historic%20Site%2C%20Corydon%2C%20Indiana</x:v>
      </x:c>
      <x:c r="O367" s="17" t="b">
        <x:v>1</x:v>
      </x:c>
      <x:c r="P367" s="16" t="b">
        <x:f>IFERROR(VLOOKUP(A367,States!$A$2:$B$18,2,FALSE),FALSE)</x:f>
        <x:v>1</x:v>
      </x:c>
      <x:c r="Q367" s="16" t="b">
        <x:f>AND(OR(O367=TRUE,O367="TRUE"),OR(P367=TRUE,P367="TRUE"))</x:f>
        <x:v>1</x:v>
      </x:c>
    </x:row>
    <x:row r="368">
      <x:c r="A368" s="16" t="str">
        <x:v>Indiana</x:v>
      </x:c>
      <x:c r="B368" s="16" t="str">
        <x:v>West Lafayette</x:v>
      </x:c>
      <x:c r="C368" s="16" t="n">
        <x:v>-86.914</x:v>
      </x:c>
      <x:c r="D368" s="16" t="n">
        <x:v>40.428</x:v>
      </x:c>
      <x:c r="E368" s="16" t="str">
        <x:v>Purdue University Campus</x:v>
      </x:c>
      <x:c r="F368" s="16" t="str">
        <x:v>Families, college travelers, science fans</x:v>
      </x:c>
      <x:c r="G368" s="16" t="str">
        <x:v>A major university campus adds museums, sports, and public art.</x:v>
      </x:c>
      <x:c r="H368" s="16" t="str">
        <x:v>Architecture</x:v>
      </x:c>
      <x:c r="I368" s="16" t="str">
        <x:v>https://www.google.com/search?q=Purdue%20University%20Campus%20West%20Lafayette%20Indiana%20official%20website</x:v>
      </x:c>
      <x:c r="J368" s="16" t="str">
        <x:v>https://www.google.com/search?q=site%3Avisitindiana.com%20Purdue%20University%20Campus</x:v>
      </x:c>
      <x:c r="K368" s="16" t="str">
        <x:v>https://www.google.com/search?q=Purdue%20University%20Campus%20West%20Lafayette%20Indiana%20visitor%20information</x:v>
      </x:c>
      <x:c r="L368" s="16" t="str">
        <x:v>https://www.google.com/search?q=Purdue%20University%20Campus%20West%20Lafayette%20Indiana%20photos</x:v>
      </x:c>
      <x:c r="M368" s="16" t="str">
        <x:v>https://www.google.com/search?q=Purdue%20University%20Campus%20West%20Lafayette%20Indiana%20wikipedia%20OR%20wikivoyage</x:v>
      </x:c>
      <x:c r="N368" s="16" t="str">
        <x:v>https://www.google.com/maps/search/?api=1&amp;query=Purdue%20University%20Campus%2C%20West%20Lafayette%2C%20Indiana</x:v>
      </x:c>
      <x:c r="O368" s="17" t="b">
        <x:v>1</x:v>
      </x:c>
      <x:c r="P368" s="16" t="b">
        <x:f>IFERROR(VLOOKUP(A368,States!$A$2:$B$18,2,FALSE),FALSE)</x:f>
        <x:v>1</x:v>
      </x:c>
      <x:c r="Q368" s="16" t="b">
        <x:f>AND(OR(O368=TRUE,O368="TRUE"),OR(P368=TRUE,P368="TRUE"))</x:f>
        <x:v>1</x:v>
      </x:c>
    </x:row>
    <x:row r="369">
      <x:c r="A369" s="16" t="str">
        <x:v>Indiana</x:v>
      </x:c>
      <x:c r="B369" s="16" t="str">
        <x:v>Evansville</x:v>
      </x:c>
      <x:c r="C369" s="16" t="n">
        <x:v>-87.574</x:v>
      </x:c>
      <x:c r="D369" s="16" t="n">
        <x:v>37.975</x:v>
      </x:c>
      <x:c r="E369" s="16" t="str">
        <x:v>Mesker Park Zoo and Botanic Garden</x:v>
      </x:c>
      <x:c r="F369" s="16" t="str">
        <x:v>Families, animal lovers</x:v>
      </x:c>
      <x:c r="G369" s="16" t="str">
        <x:v>Zoo habitats and gardens make a strong southern Indiana family stop.</x:v>
      </x:c>
      <x:c r="H369" s="16" t="str">
        <x:v>Zoo/Aquarium</x:v>
      </x:c>
      <x:c r="I369" s="16" t="str">
        <x:v>https://www.google.com/search?q=Mesker%20Park%20Zoo%20and%20Botanic%20Garden%20Evansville%20Indiana%20official%20website</x:v>
      </x:c>
      <x:c r="J369" s="16" t="str">
        <x:v>https://www.google.com/search?q=site%3Avisitindiana.com%20Mesker%20Park%20Zoo%20and%20Botanic%20Garden</x:v>
      </x:c>
      <x:c r="K369" s="16" t="str">
        <x:v>https://www.google.com/search?q=Mesker%20Park%20Zoo%20and%20Botanic%20Garden%20Evansville%20Indiana%20visitor%20information</x:v>
      </x:c>
      <x:c r="L369" s="16" t="str">
        <x:v>https://www.google.com/search?q=Mesker%20Park%20Zoo%20and%20Botanic%20Garden%20Evansville%20Indiana%20photos</x:v>
      </x:c>
      <x:c r="M369" s="16" t="str">
        <x:v>https://www.google.com/search?q=Mesker%20Park%20Zoo%20and%20Botanic%20Garden%20Evansville%20Indiana%20wikipedia%20OR%20wikivoyage</x:v>
      </x:c>
      <x:c r="N369" s="16" t="str">
        <x:v>https://www.google.com/maps/search/?api=1&amp;query=Mesker%20Park%20Zoo%20and%20Botanic%20Garden%2C%20Evansville%2C%20Indiana</x:v>
      </x:c>
      <x:c r="O369" s="17" t="b">
        <x:v>1</x:v>
      </x:c>
      <x:c r="P369" s="16" t="b">
        <x:f>IFERROR(VLOOKUP(A369,States!$A$2:$B$18,2,FALSE),FALSE)</x:f>
        <x:v>1</x:v>
      </x:c>
      <x:c r="Q369" s="16" t="b">
        <x:f>AND(OR(O369=TRUE,O369="TRUE"),OR(P369=TRUE,P369="TRUE"))</x:f>
        <x:v>1</x:v>
      </x:c>
    </x:row>
    <x:row r="370">
      <x:c r="A370" s="16" t="str">
        <x:v>Indiana</x:v>
      </x:c>
      <x:c r="B370" s="16" t="str">
        <x:v>New Harmony</x:v>
      </x:c>
      <x:c r="C370" s="16" t="n">
        <x:v>-87.936</x:v>
      </x:c>
      <x:c r="D370" s="16" t="n">
        <x:v>38.13</x:v>
      </x:c>
      <x:c r="E370" s="16" t="str">
        <x:v>New Harmony Historic District</x:v>
      </x:c>
      <x:c r="F370" s="16" t="str">
        <x:v>History travelers, architecture fans</x:v>
      </x:c>
      <x:c r="G370" s="16" t="str">
        <x:v>A utopian-community town offers gardens, historic buildings, and contemplative spaces.</x:v>
      </x:c>
      <x:c r="H370" s="16" t="str">
        <x:v>Historic Site</x:v>
      </x:c>
      <x:c r="I370" s="16" t="str">
        <x:v>https://www.google.com/search?q=New%20Harmony%20Historic%20District%20New%20Harmony%20Indiana%20official%20website</x:v>
      </x:c>
      <x:c r="J370" s="16" t="str">
        <x:v>https://www.google.com/search?q=site%3Avisitindiana.com%20New%20Harmony%20Historic%20District</x:v>
      </x:c>
      <x:c r="K370" s="16" t="str">
        <x:v>https://www.google.com/search?q=New%20Harmony%20Historic%20District%20New%20Harmony%20Indiana%20visitor%20information</x:v>
      </x:c>
      <x:c r="L370" s="16" t="str">
        <x:v>https://www.google.com/search?q=New%20Harmony%20Historic%20District%20New%20Harmony%20Indiana%20photos</x:v>
      </x:c>
      <x:c r="M370" s="16" t="str">
        <x:v>https://www.google.com/search?q=New%20Harmony%20Historic%20District%20New%20Harmony%20Indiana%20wikipedia%20OR%20wikivoyage</x:v>
      </x:c>
      <x:c r="N370" s="16" t="str">
        <x:v>https://www.google.com/maps/search/?api=1&amp;query=New%20Harmony%20Historic%20District%2C%20New%20Harmony%2C%20Indiana</x:v>
      </x:c>
      <x:c r="O370" s="17" t="b">
        <x:v>1</x:v>
      </x:c>
      <x:c r="P370" s="16" t="b">
        <x:f>IFERROR(VLOOKUP(A370,States!$A$2:$B$18,2,FALSE),FALSE)</x:f>
        <x:v>1</x:v>
      </x:c>
      <x:c r="Q370" s="16" t="b">
        <x:f>AND(OR(O370=TRUE,O370="TRUE"),OR(P370=TRUE,P370="TRUE"))</x:f>
        <x:v>1</x:v>
      </x:c>
    </x:row>
    <x:row r="371">
      <x:c r="A371" s="16" t="str">
        <x:v>Indiana</x:v>
      </x:c>
      <x:c r="B371" s="16" t="str">
        <x:v>Richmond</x:v>
      </x:c>
      <x:c r="C371" s="16" t="n">
        <x:v>-84.889</x:v>
      </x:c>
      <x:c r="D371" s="16" t="n">
        <x:v>39.83</x:v>
      </x:c>
      <x:c r="E371" s="16" t="str">
        <x:v>Richmond and Wayne County Antique Alley</x:v>
      </x:c>
      <x:c r="F371" s="16" t="str">
        <x:v>Shoppers, road trippers</x:v>
      </x:c>
      <x:c r="G371" s="16" t="str">
        <x:v>Antique shops and historic downtowns make a browsing-focused detour.</x:v>
      </x:c>
      <x:c r="H371" s="16" t="str">
        <x:v>Shopping</x:v>
      </x:c>
      <x:c r="I371" s="16" t="str">
        <x:v>https://www.google.com/search?q=Richmond%20and%20Wayne%20County%20Antique%20Alley%20Richmond%20Indiana%20official%20website</x:v>
      </x:c>
      <x:c r="J371" s="16" t="str">
        <x:v>https://www.google.com/search?q=site%3Avisitindiana.com%20Richmond%20and%20Wayne%20County%20Antique%20Alley</x:v>
      </x:c>
      <x:c r="K371" s="16" t="str">
        <x:v>https://www.google.com/search?q=Richmond%20and%20Wayne%20County%20Antique%20Alley%20Richmond%20Indiana%20visitor%20information</x:v>
      </x:c>
      <x:c r="L371" s="16" t="str">
        <x:v>https://www.google.com/search?q=Richmond%20and%20Wayne%20County%20Antique%20Alley%20Richmond%20Indiana%20photos</x:v>
      </x:c>
      <x:c r="M371" s="16" t="str">
        <x:v>https://www.google.com/search?q=Richmond%20and%20Wayne%20County%20Antique%20Alley%20Richmond%20Indiana%20wikipedia%20OR%20wikivoyage</x:v>
      </x:c>
      <x:c r="N371" s="16" t="str">
        <x:v>https://www.google.com/maps/search/?api=1&amp;query=Richmond%20and%20Wayne%20County%20Antique%20Alley%2C%20Richmond%2C%20Indiana</x:v>
      </x:c>
      <x:c r="O371" s="17" t="b">
        <x:v>1</x:v>
      </x:c>
      <x:c r="P371" s="16" t="b">
        <x:f>IFERROR(VLOOKUP(A371,States!$A$2:$B$18,2,FALSE),FALSE)</x:f>
        <x:v>1</x:v>
      </x:c>
      <x:c r="Q371" s="16" t="b">
        <x:f>AND(OR(O371=TRUE,O371="TRUE"),OR(P371=TRUE,P371="TRUE"))</x:f>
        <x:v>1</x:v>
      </x:c>
    </x:row>
    <x:row r="372">
      <x:c r="A372" s="16" t="str">
        <x:v>Illinois</x:v>
      </x:c>
      <x:c r="B372" s="16" t="str">
        <x:v>Springfield</x:v>
      </x:c>
      <x:c r="C372" s="16" t="n">
        <x:v>-89.647</x:v>
      </x:c>
      <x:c r="D372" s="16" t="n">
        <x:v>39.797</x:v>
      </x:c>
      <x:c r="E372" s="16" t="str">
        <x:v>Lincoln Home National Historic Site</x:v>
      </x:c>
      <x:c r="F372" s="16" t="str">
        <x:v>History buffs, families</x:v>
      </x:c>
      <x:c r="G372" s="16" t="str">
        <x:v>Lincoln's preserved neighborhood makes presidential history concrete.</x:v>
      </x:c>
      <x:c r="H372" s="16" t="str">
        <x:v>Historic Site</x:v>
      </x:c>
      <x:c r="I372" s="16" t="str">
        <x:v>https://www.google.com/search?q=Lincoln%20Home%20National%20Historic%20Site%20Springfield%20Illinois%20official%20website</x:v>
      </x:c>
      <x:c r="J372" s="16" t="str">
        <x:v>https://www.google.com/search?q=site%3Aenjoyillinois.com%20Lincoln%20Home%20National%20Historic%20Site</x:v>
      </x:c>
      <x:c r="K372" s="16" t="str">
        <x:v>https://www.google.com/search?q=Lincoln%20Home%20National%20Historic%20Site%20Springfield%20Illinois%20visitor%20information</x:v>
      </x:c>
      <x:c r="L372" s="16" t="str">
        <x:v>https://www.google.com/search?q=Lincoln%20Home%20National%20Historic%20Site%20Springfield%20Illinois%20photos</x:v>
      </x:c>
      <x:c r="M372" s="16" t="str">
        <x:v>https://www.google.com/search?q=Lincoln%20Home%20National%20Historic%20Site%20Springfield%20Illinois%20wikipedia%20OR%20wikivoyage</x:v>
      </x:c>
      <x:c r="N372" s="16" t="str">
        <x:v>https://www.google.com/maps/search/?api=1&amp;query=Lincoln%20Home%20National%20Historic%20Site%2C%20Springfield%2C%20Illinois</x:v>
      </x:c>
      <x:c r="O372" s="17" t="b">
        <x:v>1</x:v>
      </x:c>
      <x:c r="P372" s="16" t="b">
        <x:f>IFERROR(VLOOKUP(A372,States!$A$2:$B$18,2,FALSE),FALSE)</x:f>
        <x:v>1</x:v>
      </x:c>
      <x:c r="Q372" s="16" t="b">
        <x:f>AND(OR(O372=TRUE,O372="TRUE"),OR(P372=TRUE,P372="TRUE"))</x:f>
        <x:v>1</x:v>
      </x:c>
    </x:row>
    <x:row r="373">
      <x:c r="A373" s="16" t="str">
        <x:v>Illinois</x:v>
      </x:c>
      <x:c r="B373" s="16" t="str">
        <x:v>Springfield</x:v>
      </x:c>
      <x:c r="C373" s="16" t="n">
        <x:v>-89.646</x:v>
      </x:c>
      <x:c r="D373" s="16" t="n">
        <x:v>39.819</x:v>
      </x:c>
      <x:c r="E373" s="16" t="str">
        <x:v>Lincoln Tomb</x:v>
      </x:c>
      <x:c r="F373" s="16" t="str">
        <x:v>History travelers, families</x:v>
      </x:c>
      <x:c r="G373" s="16" t="str">
        <x:v>A monumental resting place completes a Lincoln-focused Springfield visit.</x:v>
      </x:c>
      <x:c r="H373" s="16" t="str">
        <x:v>Memorial</x:v>
      </x:c>
      <x:c r="I373" s="16" t="str">
        <x:v>https://www.google.com/search?q=Lincoln%20Tomb%20Springfield%20Illinois%20official%20website</x:v>
      </x:c>
      <x:c r="J373" s="16" t="str">
        <x:v>https://www.google.com/search?q=site%3Aenjoyillinois.com%20Lincoln%20Tomb</x:v>
      </x:c>
      <x:c r="K373" s="16" t="str">
        <x:v>https://www.google.com/search?q=Lincoln%20Tomb%20Springfield%20Illinois%20visitor%20information</x:v>
      </x:c>
      <x:c r="L373" s="16" t="str">
        <x:v>https://www.google.com/search?q=Lincoln%20Tomb%20Springfield%20Illinois%20photos</x:v>
      </x:c>
      <x:c r="M373" s="16" t="str">
        <x:v>https://www.google.com/search?q=Lincoln%20Tomb%20Springfield%20Illinois%20wikipedia%20OR%20wikivoyage</x:v>
      </x:c>
      <x:c r="N373" s="16" t="str">
        <x:v>https://www.google.com/maps/search/?api=1&amp;query=Lincoln%20Tomb%2C%20Springfield%2C%20Illinois</x:v>
      </x:c>
      <x:c r="O373" s="17" t="b">
        <x:v>1</x:v>
      </x:c>
      <x:c r="P373" s="16" t="b">
        <x:f>IFERROR(VLOOKUP(A373,States!$A$2:$B$18,2,FALSE),FALSE)</x:f>
        <x:v>1</x:v>
      </x:c>
      <x:c r="Q373" s="16" t="b">
        <x:f>AND(OR(O373=TRUE,O373="TRUE"),OR(P373=TRUE,P373="TRUE"))</x:f>
        <x:v>1</x:v>
      </x:c>
    </x:row>
    <x:row r="374">
      <x:c r="A374" s="16" t="str">
        <x:v>Illinois</x:v>
      </x:c>
      <x:c r="B374" s="16" t="str">
        <x:v>Chicago</x:v>
      </x:c>
      <x:c r="C374" s="16" t="n">
        <x:v>-87.635</x:v>
      </x:c>
      <x:c r="D374" s="16" t="n">
        <x:v>41.888</x:v>
      </x:c>
      <x:c r="E374" s="16" t="str">
        <x:v>Chicago Architecture River Cruise</x:v>
      </x:c>
      <x:c r="F374" s="16" t="str">
        <x:v>Architecture fans, first-time visitors</x:v>
      </x:c>
      <x:c r="G374" s="16" t="str">
        <x:v>Boat tours turn the city's skyline and river history into a clear narrative.</x:v>
      </x:c>
      <x:c r="H374" s="16" t="str">
        <x:v>Waterfront</x:v>
      </x:c>
      <x:c r="I374" s="16" t="str">
        <x:v>https://www.google.com/search?q=Chicago%20Architecture%20River%20Cruise%20Chicago%20Illinois%20official%20website</x:v>
      </x:c>
      <x:c r="J374" s="16" t="str">
        <x:v>https://www.google.com/search?q=site%3Aenjoyillinois.com%20Chicago%20Architecture%20River%20Cruise</x:v>
      </x:c>
      <x:c r="K374" s="16" t="str">
        <x:v>https://www.google.com/search?q=Chicago%20Architecture%20River%20Cruise%20Chicago%20Illinois%20visitor%20information</x:v>
      </x:c>
      <x:c r="L374" s="16" t="str">
        <x:v>https://www.google.com/search?q=Chicago%20Architecture%20River%20Cruise%20Chicago%20Illinois%20photos</x:v>
      </x:c>
      <x:c r="M374" s="16" t="str">
        <x:v>https://www.google.com/search?q=Chicago%20Architecture%20River%20Cruise%20Chicago%20Illinois%20wikipedia%20OR%20wikivoyage</x:v>
      </x:c>
      <x:c r="N374" s="16" t="str">
        <x:v>https://www.google.com/maps/search/?api=1&amp;query=Chicago%20Architecture%20River%20Cruise%2C%20Chicago%2C%20Illinois</x:v>
      </x:c>
      <x:c r="O374" s="17" t="b">
        <x:v>1</x:v>
      </x:c>
      <x:c r="P374" s="16" t="b">
        <x:f>IFERROR(VLOOKUP(A374,States!$A$2:$B$18,2,FALSE),FALSE)</x:f>
        <x:v>1</x:v>
      </x:c>
      <x:c r="Q374" s="16" t="b">
        <x:f>AND(OR(O374=TRUE,O374="TRUE"),OR(P374=TRUE,P374="TRUE"))</x:f>
        <x:v>1</x:v>
      </x:c>
    </x:row>
    <x:row r="375">
      <x:c r="A375" s="16" t="str">
        <x:v>Illinois</x:v>
      </x:c>
      <x:c r="B375" s="16" t="str">
        <x:v>Gurnee</x:v>
      </x:c>
      <x:c r="C375" s="16" t="n">
        <x:v>-87.934</x:v>
      </x:c>
      <x:c r="D375" s="16" t="n">
        <x:v>42.37</x:v>
      </x:c>
      <x:c r="E375" s="16" t="str">
        <x:v>Six Flags Great America</x:v>
      </x:c>
      <x:c r="F375" s="16" t="str">
        <x:v>Families, thrill seekers</x:v>
      </x:c>
      <x:c r="G375" s="16" t="str">
        <x:v>Major coasters and water-park access make a Chicago-area amusement anchor.</x:v>
      </x:c>
      <x:c r="H375" s="16" t="str">
        <x:v>Theme Park</x:v>
      </x:c>
      <x:c r="I375" s="16" t="str">
        <x:v>https://www.google.com/search?q=Six%20Flags%20Great%20America%20Gurnee%20Illinois%20official%20website</x:v>
      </x:c>
      <x:c r="J375" s="16" t="str">
        <x:v>https://www.google.com/search?q=site%3Aenjoyillinois.com%20Six%20Flags%20Great%20America</x:v>
      </x:c>
      <x:c r="K375" s="16" t="str">
        <x:v>https://www.google.com/search?q=Six%20Flags%20Great%20America%20Gurnee%20Illinois%20visitor%20information</x:v>
      </x:c>
      <x:c r="L375" s="16" t="str">
        <x:v>https://www.google.com/search?q=Six%20Flags%20Great%20America%20Gurnee%20Illinois%20photos</x:v>
      </x:c>
      <x:c r="M375" s="16" t="str">
        <x:v>https://www.google.com/search?q=Six%20Flags%20Great%20America%20Gurnee%20Illinois%20wikipedia%20OR%20wikivoyage</x:v>
      </x:c>
      <x:c r="N375" s="16" t="str">
        <x:v>https://www.google.com/maps/search/?api=1&amp;query=Six%20Flags%20Great%20America%2C%20Gurnee%2C%20Illinois</x:v>
      </x:c>
      <x:c r="O375" s="17" t="b">
        <x:v>1</x:v>
      </x:c>
      <x:c r="P375" s="16" t="b">
        <x:f>IFERROR(VLOOKUP(A375,States!$A$2:$B$18,2,FALSE),FALSE)</x:f>
        <x:v>1</x:v>
      </x:c>
      <x:c r="Q375" s="16" t="b">
        <x:f>AND(OR(O375=TRUE,O375="TRUE"),OR(P375=TRUE,P375="TRUE"))</x:f>
        <x:v>1</x:v>
      </x:c>
    </x:row>
    <x:row r="376">
      <x:c r="A376" s="16" t="str">
        <x:v>Illinois</x:v>
      </x:c>
      <x:c r="B376" s="16" t="str">
        <x:v>Peoria</x:v>
      </x:c>
      <x:c r="C376" s="16" t="n">
        <x:v>-89.573</x:v>
      </x:c>
      <x:c r="D376" s="16" t="n">
        <x:v>40.689</x:v>
      </x:c>
      <x:c r="E376" s="16" t="str">
        <x:v>Peoria Riverfront Museum</x:v>
      </x:c>
      <x:c r="F376" s="16" t="str">
        <x:v>Families, science fans, art lovers</x:v>
      </x:c>
      <x:c r="G376" s="16" t="str">
        <x:v>Science, art, history, and a planetarium sit on the Illinois River.</x:v>
      </x:c>
      <x:c r="H376" s="16" t="str">
        <x:v>Museum</x:v>
      </x:c>
      <x:c r="I376" s="16" t="str">
        <x:v>https://www.google.com/search?q=Peoria%20Riverfront%20Museum%20Peoria%20Illinois%20official%20website</x:v>
      </x:c>
      <x:c r="J376" s="16" t="str">
        <x:v>https://www.google.com/search?q=site%3Aenjoyillinois.com%20Peoria%20Riverfront%20Museum</x:v>
      </x:c>
      <x:c r="K376" s="16" t="str">
        <x:v>https://www.google.com/search?q=Peoria%20Riverfront%20Museum%20Peoria%20Illinois%20visitor%20information</x:v>
      </x:c>
      <x:c r="L376" s="16" t="str">
        <x:v>https://www.google.com/search?q=Peoria%20Riverfront%20Museum%20Peoria%20Illinois%20photos</x:v>
      </x:c>
      <x:c r="M376" s="16" t="str">
        <x:v>https://www.google.com/search?q=Peoria%20Riverfront%20Museum%20Peoria%20Illinois%20wikipedia%20OR%20wikivoyage</x:v>
      </x:c>
      <x:c r="N376" s="16" t="str">
        <x:v>https://www.google.com/maps/search/?api=1&amp;query=Peoria%20Riverfront%20Museum%2C%20Peoria%2C%20Illinois</x:v>
      </x:c>
      <x:c r="O376" s="17" t="b">
        <x:v>1</x:v>
      </x:c>
      <x:c r="P376" s="16" t="b">
        <x:f>IFERROR(VLOOKUP(A376,States!$A$2:$B$18,2,FALSE),FALSE)</x:f>
        <x:v>1</x:v>
      </x:c>
      <x:c r="Q376" s="16" t="b">
        <x:f>AND(OR(O376=TRUE,O376="TRUE"),OR(P376=TRUE,P376="TRUE"))</x:f>
        <x:v>1</x:v>
      </x:c>
    </x:row>
    <x:row r="377">
      <x:c r="A377" s="16" t="str">
        <x:v>Illinois</x:v>
      </x:c>
      <x:c r="B377" s="16" t="str">
        <x:v>Evanston</x:v>
      </x:c>
      <x:c r="C377" s="16" t="n">
        <x:v>-87.676</x:v>
      </x:c>
      <x:c r="D377" s="16" t="n">
        <x:v>42.058</x:v>
      </x:c>
      <x:c r="E377" s="16" t="str">
        <x:v>Baha'i House of Worship</x:v>
      </x:c>
      <x:c r="F377" s="16" t="str">
        <x:v>Architecture fans, culture travelers</x:v>
      </x:c>
      <x:c r="G377" s="16" t="str">
        <x:v>A luminous temple and gardens create a calm North Shore stop.</x:v>
      </x:c>
      <x:c r="H377" s="16" t="str">
        <x:v>Architecture</x:v>
      </x:c>
      <x:c r="I377" s="16" t="str">
        <x:v>https://www.google.com/search?q=Baha'i%20House%20of%20Worship%20Evanston%20Illinois%20official%20website</x:v>
      </x:c>
      <x:c r="J377" s="16" t="str">
        <x:v>https://www.google.com/search?q=site%3Aenjoyillinois.com%20Baha'i%20House%20of%20Worship</x:v>
      </x:c>
      <x:c r="K377" s="16" t="str">
        <x:v>https://www.google.com/search?q=Baha'i%20House%20of%20Worship%20Evanston%20Illinois%20visitor%20information</x:v>
      </x:c>
      <x:c r="L377" s="16" t="str">
        <x:v>https://www.google.com/search?q=Baha'i%20House%20of%20Worship%20Evanston%20Illinois%20photos</x:v>
      </x:c>
      <x:c r="M377" s="16" t="str">
        <x:v>https://www.google.com/search?q=Baha'i%20House%20of%20Worship%20Evanston%20Illinois%20wikipedia%20OR%20wikivoyage</x:v>
      </x:c>
      <x:c r="N377" s="16" t="str">
        <x:v>https://www.google.com/maps/search/?api=1&amp;query=Baha'i%20House%20of%20Worship%2C%20Evanston%2C%20Illinois</x:v>
      </x:c>
      <x:c r="O377" s="17" t="b">
        <x:v>1</x:v>
      </x:c>
      <x:c r="P377" s="16" t="b">
        <x:f>IFERROR(VLOOKUP(A377,States!$A$2:$B$18,2,FALSE),FALSE)</x:f>
        <x:v>1</x:v>
      </x:c>
      <x:c r="Q377" s="16" t="b">
        <x:f>AND(OR(O377=TRUE,O377="TRUE"),OR(P377=TRUE,P377="TRUE"))</x:f>
        <x:v>1</x:v>
      </x:c>
    </x:row>
    <x:row r="378">
      <x:c r="A378" s="16" t="str">
        <x:v>Illinois</x:v>
      </x:c>
      <x:c r="B378" s="16" t="str">
        <x:v>Geneva</x:v>
      </x:c>
      <x:c r="C378" s="16" t="n">
        <x:v>-88.358</x:v>
      </x:c>
      <x:c r="D378" s="16" t="n">
        <x:v>41.887</x:v>
      </x:c>
      <x:c r="E378" s="16" t="str">
        <x:v>Fabyan Forest Preserve and Japanese Garden</x:v>
      </x:c>
      <x:c r="F378" s="16" t="str">
        <x:v>Garden lovers, families</x:v>
      </x:c>
      <x:c r="G378" s="16" t="str">
        <x:v>Riverfront trails and a small Japanese garden add Fox River charm.</x:v>
      </x:c>
      <x:c r="H378" s="16" t="str">
        <x:v>Garden</x:v>
      </x:c>
      <x:c r="I378" s="16" t="str">
        <x:v>https://www.google.com/search?q=Fabyan%20Forest%20Preserve%20and%20Japanese%20Garden%20Geneva%20Illinois%20official%20website</x:v>
      </x:c>
      <x:c r="J378" s="16" t="str">
        <x:v>https://www.google.com/search?q=site%3Aenjoyillinois.com%20Fabyan%20Forest%20Preserve%20and%20Japanese%20Garden</x:v>
      </x:c>
      <x:c r="K378" s="16" t="str">
        <x:v>https://www.google.com/search?q=Fabyan%20Forest%20Preserve%20and%20Japanese%20Garden%20Geneva%20Illinois%20visitor%20information</x:v>
      </x:c>
      <x:c r="L378" s="16" t="str">
        <x:v>https://www.google.com/search?q=Fabyan%20Forest%20Preserve%20and%20Japanese%20Garden%20Geneva%20Illinois%20photos</x:v>
      </x:c>
      <x:c r="M378" s="16" t="str">
        <x:v>https://www.google.com/search?q=Fabyan%20Forest%20Preserve%20and%20Japanese%20Garden%20Geneva%20Illinois%20wikipedia%20OR%20wikivoyage</x:v>
      </x:c>
      <x:c r="N378" s="16" t="str">
        <x:v>https://www.google.com/maps/search/?api=1&amp;query=Fabyan%20Forest%20Preserve%20and%20Japanese%20Garden%2C%20Geneva%2C%20Illinois</x:v>
      </x:c>
      <x:c r="O378" s="17" t="b">
        <x:v>1</x:v>
      </x:c>
      <x:c r="P378" s="16" t="b">
        <x:f>IFERROR(VLOOKUP(A378,States!$A$2:$B$18,2,FALSE),FALSE)</x:f>
        <x:v>1</x:v>
      </x:c>
      <x:c r="Q378" s="16" t="b">
        <x:f>AND(OR(O378=TRUE,O378="TRUE"),OR(P378=TRUE,P378="TRUE"))</x:f>
        <x:v>1</x:v>
      </x:c>
    </x:row>
    <x:row r="379">
      <x:c r="A379" s="16" t="str">
        <x:v>Illinois</x:v>
      </x:c>
      <x:c r="B379" s="16" t="str">
        <x:v>Moline</x:v>
      </x:c>
      <x:c r="C379" s="16" t="n">
        <x:v>-90.516</x:v>
      </x:c>
      <x:c r="D379" s="16" t="n">
        <x:v>41.506</x:v>
      </x:c>
      <x:c r="E379" s="16" t="str">
        <x:v>John Deere Pavilion</x:v>
      </x:c>
      <x:c r="F379" s="16" t="str">
        <x:v>Families, machinery fans</x:v>
      </x:c>
      <x:c r="G379" s="16" t="str">
        <x:v>Interactive equipment displays tell Midwest agriculture and manufacturing stories.</x:v>
      </x:c>
      <x:c r="H379" s="16" t="str">
        <x:v>Museum</x:v>
      </x:c>
      <x:c r="I379" s="16" t="str">
        <x:v>https://www.google.com/search?q=John%20Deere%20Pavilion%20Moline%20Illinois%20official%20website</x:v>
      </x:c>
      <x:c r="J379" s="16" t="str">
        <x:v>https://www.google.com/search?q=site%3Aenjoyillinois.com%20John%20Deere%20Pavilion</x:v>
      </x:c>
      <x:c r="K379" s="16" t="str">
        <x:v>https://www.google.com/search?q=John%20Deere%20Pavilion%20Moline%20Illinois%20visitor%20information</x:v>
      </x:c>
      <x:c r="L379" s="16" t="str">
        <x:v>https://www.google.com/search?q=John%20Deere%20Pavilion%20Moline%20Illinois%20photos</x:v>
      </x:c>
      <x:c r="M379" s="16" t="str">
        <x:v>https://www.google.com/search?q=John%20Deere%20Pavilion%20Moline%20Illinois%20wikipedia%20OR%20wikivoyage</x:v>
      </x:c>
      <x:c r="N379" s="16" t="str">
        <x:v>https://www.google.com/maps/search/?api=1&amp;query=John%20Deere%20Pavilion%2C%20Moline%2C%20Illinois</x:v>
      </x:c>
      <x:c r="O379" s="17" t="b">
        <x:v>1</x:v>
      </x:c>
      <x:c r="P379" s="16" t="b">
        <x:f>IFERROR(VLOOKUP(A379,States!$A$2:$B$18,2,FALSE),FALSE)</x:f>
        <x:v>1</x:v>
      </x:c>
      <x:c r="Q379" s="16" t="b">
        <x:f>AND(OR(O379=TRUE,O379="TRUE"),OR(P379=TRUE,P379="TRUE"))</x:f>
        <x:v>1</x:v>
      </x:c>
    </x:row>
    <x:row r="380">
      <x:c r="A380" s="16" t="str">
        <x:v>Illinois</x:v>
      </x:c>
      <x:c r="B380" s="16" t="str">
        <x:v>Champaign</x:v>
      </x:c>
      <x:c r="C380" s="16" t="n">
        <x:v>-88.228</x:v>
      </x:c>
      <x:c r="D380" s="16" t="n">
        <x:v>40.102</x:v>
      </x:c>
      <x:c r="E380" s="16" t="str">
        <x:v>Krannert Art Museum</x:v>
      </x:c>
      <x:c r="F380" s="16" t="str">
        <x:v>Art lovers, college-town travelers</x:v>
      </x:c>
      <x:c r="G380" s="16" t="str">
        <x:v>University collections offer a cultural stop between Chicago and St. Louis.</x:v>
      </x:c>
      <x:c r="H380" s="16" t="str">
        <x:v>Museum</x:v>
      </x:c>
      <x:c r="I380" s="16" t="str">
        <x:v>https://www.google.com/search?q=Krannert%20Art%20Museum%20Champaign%20Illinois%20official%20website</x:v>
      </x:c>
      <x:c r="J380" s="16" t="str">
        <x:v>https://www.google.com/search?q=site%3Aenjoyillinois.com%20Krannert%20Art%20Museum</x:v>
      </x:c>
      <x:c r="K380" s="16" t="str">
        <x:v>https://www.google.com/search?q=Krannert%20Art%20Museum%20Champaign%20Illinois%20visitor%20information</x:v>
      </x:c>
      <x:c r="L380" s="16" t="str">
        <x:v>https://www.google.com/search?q=Krannert%20Art%20Museum%20Champaign%20Illinois%20photos</x:v>
      </x:c>
      <x:c r="M380" s="16" t="str">
        <x:v>https://www.google.com/search?q=Krannert%20Art%20Museum%20Champaign%20Illinois%20wikipedia%20OR%20wikivoyage</x:v>
      </x:c>
      <x:c r="N380" s="16" t="str">
        <x:v>https://www.google.com/maps/search/?api=1&amp;query=Krannert%20Art%20Museum%2C%20Champaign%2C%20Illinois</x:v>
      </x:c>
      <x:c r="O380" s="17" t="b">
        <x:v>1</x:v>
      </x:c>
      <x:c r="P380" s="16" t="b">
        <x:f>IFERROR(VLOOKUP(A380,States!$A$2:$B$18,2,FALSE),FALSE)</x:f>
        <x:v>1</x:v>
      </x:c>
      <x:c r="Q380" s="16" t="b">
        <x:f>AND(OR(O380=TRUE,O380="TRUE"),OR(P380=TRUE,P380="TRUE"))</x:f>
        <x:v>1</x:v>
      </x:c>
    </x:row>
    <x:row r="381">
      <x:c r="A381" s="16" t="str">
        <x:v>Illinois</x:v>
      </x:c>
      <x:c r="B381" s="16" t="str">
        <x:v>Nauvoo</x:v>
      </x:c>
      <x:c r="C381" s="16" t="n">
        <x:v>-91.384</x:v>
      </x:c>
      <x:c r="D381" s="16" t="n">
        <x:v>40.55</x:v>
      </x:c>
      <x:c r="E381" s="16" t="str">
        <x:v>Nauvoo Historic District</x:v>
      </x:c>
      <x:c r="F381" s="16" t="str">
        <x:v>History travelers, faith travelers</x:v>
      </x:c>
      <x:c r="G381" s="16" t="str">
        <x:v>Restored buildings interpret a Mississippi River religious and frontier community.</x:v>
      </x:c>
      <x:c r="H381" s="16" t="str">
        <x:v>Historic Site</x:v>
      </x:c>
      <x:c r="I381" s="16" t="str">
        <x:v>https://www.google.com/search?q=Nauvoo%20Historic%20District%20Nauvoo%20Illinois%20official%20website</x:v>
      </x:c>
      <x:c r="J381" s="16" t="str">
        <x:v>https://www.google.com/search?q=site%3Aenjoyillinois.com%20Nauvoo%20Historic%20District</x:v>
      </x:c>
      <x:c r="K381" s="16" t="str">
        <x:v>https://www.google.com/search?q=Nauvoo%20Historic%20District%20Nauvoo%20Illinois%20visitor%20information</x:v>
      </x:c>
      <x:c r="L381" s="16" t="str">
        <x:v>https://www.google.com/search?q=Nauvoo%20Historic%20District%20Nauvoo%20Illinois%20photos</x:v>
      </x:c>
      <x:c r="M381" s="16" t="str">
        <x:v>https://www.google.com/search?q=Nauvoo%20Historic%20District%20Nauvoo%20Illinois%20wikipedia%20OR%20wikivoyage</x:v>
      </x:c>
      <x:c r="N381" s="16" t="str">
        <x:v>https://www.google.com/maps/search/?api=1&amp;query=Nauvoo%20Historic%20District%2C%20Nauvoo%2C%20Illinois</x:v>
      </x:c>
      <x:c r="O381" s="17" t="b">
        <x:v>1</x:v>
      </x:c>
      <x:c r="P381" s="16" t="b">
        <x:f>IFERROR(VLOOKUP(A381,States!$A$2:$B$18,2,FALSE),FALSE)</x:f>
        <x:v>1</x:v>
      </x:c>
      <x:c r="Q381" s="16" t="b">
        <x:f>AND(OR(O381=TRUE,O381="TRUE"),OR(P381=TRUE,P381="TRUE"))</x:f>
        <x:v>1</x:v>
      </x:c>
    </x:row>
    <x:row r="382">
      <x:c r="A382" s="16" t="str">
        <x:v>Wisconsin</x:v>
      </x:c>
      <x:c r="B382" s="16" t="str">
        <x:v>Milwaukee</x:v>
      </x:c>
      <x:c r="C382" s="16" t="n">
        <x:v>-87.91</x:v>
      </x:c>
      <x:c r="D382" s="16" t="n">
        <x:v>43.038</x:v>
      </x:c>
      <x:c r="E382" s="16" t="str">
        <x:v>Historic Third Ward</x:v>
      </x:c>
      <x:c r="F382" s="16" t="str">
        <x:v>Food lovers, shoppers, city explorers</x:v>
      </x:c>
      <x:c r="G382" s="16" t="str">
        <x:v>Warehouse architecture, galleries, restaurants, and markets make a lively district.</x:v>
      </x:c>
      <x:c r="H382" s="16" t="str">
        <x:v>Food/Market</x:v>
      </x:c>
      <x:c r="I382" s="16" t="str">
        <x:v>https://www.google.com/search?q=Historic%20Third%20Ward%20Milwaukee%20Wisconsin%20official%20website</x:v>
      </x:c>
      <x:c r="J382" s="16" t="str">
        <x:v>https://www.google.com/search?q=site%3Atravelwisconsin.com%20Historic%20Third%20Ward</x:v>
      </x:c>
      <x:c r="K382" s="16" t="str">
        <x:v>https://www.google.com/search?q=Historic%20Third%20Ward%20Milwaukee%20Wisconsin%20visitor%20information</x:v>
      </x:c>
      <x:c r="L382" s="16" t="str">
        <x:v>https://www.google.com/search?q=Historic%20Third%20Ward%20Milwaukee%20Wisconsin%20photos</x:v>
      </x:c>
      <x:c r="M382" s="16" t="str">
        <x:v>https://www.google.com/search?q=Historic%20Third%20Ward%20Milwaukee%20Wisconsin%20wikipedia%20OR%20wikivoyage</x:v>
      </x:c>
      <x:c r="N382" s="16" t="str">
        <x:v>https://www.google.com/maps/search/?api=1&amp;query=Historic%20Third%20Ward%2C%20Milwaukee%2C%20Wisconsin</x:v>
      </x:c>
      <x:c r="O382" s="17" t="b">
        <x:v>1</x:v>
      </x:c>
      <x:c r="P382" s="16" t="b">
        <x:f>IFERROR(VLOOKUP(A382,States!$A$2:$B$18,2,FALSE),FALSE)</x:f>
        <x:v>1</x:v>
      </x:c>
      <x:c r="Q382" s="16" t="b">
        <x:f>AND(OR(O382=TRUE,O382="TRUE"),OR(P382=TRUE,P382="TRUE"))</x:f>
        <x:v>1</x:v>
      </x:c>
    </x:row>
    <x:row r="383">
      <x:c r="A383" s="16" t="str">
        <x:v>Wisconsin</x:v>
      </x:c>
      <x:c r="B383" s="16" t="str">
        <x:v>Madison</x:v>
      </x:c>
      <x:c r="C383" s="16" t="n">
        <x:v>-89.384</x:v>
      </x:c>
      <x:c r="D383" s="16" t="n">
        <x:v>43.074</x:v>
      </x:c>
      <x:c r="E383" s="16" t="str">
        <x:v>Wisconsin State Capitol</x:v>
      </x:c>
      <x:c r="F383" s="16" t="str">
        <x:v>Architecture fans, history travelers</x:v>
      </x:c>
      <x:c r="G383" s="16" t="str">
        <x:v>A domed capitol and lake-centered downtown make a strong city stop.</x:v>
      </x:c>
      <x:c r="H383" s="16" t="str">
        <x:v>Architecture</x:v>
      </x:c>
      <x:c r="I383" s="16" t="str">
        <x:v>https://www.google.com/search?q=Wisconsin%20State%20Capitol%20Madison%20Wisconsin%20official%20website</x:v>
      </x:c>
      <x:c r="J383" s="16" t="str">
        <x:v>https://www.google.com/search?q=site%3Atravelwisconsin.com%20Wisconsin%20State%20Capitol</x:v>
      </x:c>
      <x:c r="K383" s="16" t="str">
        <x:v>https://www.google.com/search?q=Wisconsin%20State%20Capitol%20Madison%20Wisconsin%20visitor%20information</x:v>
      </x:c>
      <x:c r="L383" s="16" t="str">
        <x:v>https://www.google.com/search?q=Wisconsin%20State%20Capitol%20Madison%20Wisconsin%20photos</x:v>
      </x:c>
      <x:c r="M383" s="16" t="str">
        <x:v>https://www.google.com/search?q=Wisconsin%20State%20Capitol%20Madison%20Wisconsin%20wikipedia%20OR%20wikivoyage</x:v>
      </x:c>
      <x:c r="N383" s="16" t="str">
        <x:v>https://www.google.com/maps/search/?api=1&amp;query=Wisconsin%20State%20Capitol%2C%20Madison%2C%20Wisconsin</x:v>
      </x:c>
      <x:c r="O383" s="17" t="b">
        <x:v>1</x:v>
      </x:c>
      <x:c r="P383" s="16" t="b">
        <x:f>IFERROR(VLOOKUP(A383,States!$A$2:$B$18,2,FALSE),FALSE)</x:f>
        <x:v>1</x:v>
      </x:c>
      <x:c r="Q383" s="16" t="b">
        <x:f>AND(OR(O383=TRUE,O383="TRUE"),OR(P383=TRUE,P383="TRUE"))</x:f>
        <x:v>1</x:v>
      </x:c>
    </x:row>
    <x:row r="384">
      <x:c r="A384" s="16" t="str">
        <x:v>Wisconsin</x:v>
      </x:c>
      <x:c r="B384" s="16" t="str">
        <x:v>Racine</x:v>
      </x:c>
      <x:c r="C384" s="16" t="n">
        <x:v>-87.784</x:v>
      </x:c>
      <x:c r="D384" s="16" t="n">
        <x:v>42.727</x:v>
      </x:c>
      <x:c r="E384" s="16" t="str">
        <x:v>SC Johnson Administration Building and Wingspread</x:v>
      </x:c>
      <x:c r="F384" s="16" t="str">
        <x:v>Architecture fans, design travelers</x:v>
      </x:c>
      <x:c r="G384" s="16" t="str">
        <x:v>Frank Lloyd Wright landmarks make Racine a serious architecture detour.</x:v>
      </x:c>
      <x:c r="H384" s="16" t="str">
        <x:v>Architecture</x:v>
      </x:c>
      <x:c r="I384" s="16" t="str">
        <x:v>https://www.google.com/search?q=SC%20Johnson%20Administration%20Building%20and%20Wingspread%20Racine%20Wisconsin%20official%20website</x:v>
      </x:c>
      <x:c r="J384" s="16" t="str">
        <x:v>https://www.google.com/search?q=site%3Atravelwisconsin.com%20SC%20Johnson%20Administration%20Building%20and%20Wingspread</x:v>
      </x:c>
      <x:c r="K384" s="16" t="str">
        <x:v>https://www.google.com/search?q=SC%20Johnson%20Administration%20Building%20and%20Wingspread%20Racine%20Wisconsin%20visitor%20information</x:v>
      </x:c>
      <x:c r="L384" s="16" t="str">
        <x:v>https://www.google.com/search?q=SC%20Johnson%20Administration%20Building%20and%20Wingspread%20Racine%20Wisconsin%20photos</x:v>
      </x:c>
      <x:c r="M384" s="16" t="str">
        <x:v>https://www.google.com/search?q=SC%20Johnson%20Administration%20Building%20and%20Wingspread%20Racine%20Wisconsin%20wikipedia%20OR%20wikivoyage</x:v>
      </x:c>
      <x:c r="N384" s="16" t="str">
        <x:v>https://www.google.com/maps/search/?api=1&amp;query=SC%20Johnson%20Administration%20Building%20and%20Wingspread%2C%20Racine%2C%20Wisconsin</x:v>
      </x:c>
      <x:c r="O384" s="17" t="b">
        <x:v>1</x:v>
      </x:c>
      <x:c r="P384" s="16" t="b">
        <x:f>IFERROR(VLOOKUP(A384,States!$A$2:$B$18,2,FALSE),FALSE)</x:f>
        <x:v>1</x:v>
      </x:c>
      <x:c r="Q384" s="16" t="b">
        <x:f>AND(OR(O384=TRUE,O384="TRUE"),OR(P384=TRUE,P384="TRUE"))</x:f>
        <x:v>1</x:v>
      </x:c>
    </x:row>
    <x:row r="385">
      <x:c r="A385" s="16" t="str">
        <x:v>Wisconsin</x:v>
      </x:c>
      <x:c r="B385" s="16" t="str">
        <x:v>La Crosse</x:v>
      </x:c>
      <x:c r="C385" s="16" t="n">
        <x:v>-91.204</x:v>
      </x:c>
      <x:c r="D385" s="16" t="n">
        <x:v>43.801</x:v>
      </x:c>
      <x:c r="E385" s="16" t="str">
        <x:v>Grandad Bluff</x:v>
      </x:c>
      <x:c r="F385" s="16" t="str">
        <x:v>Scenic drivers, photographers</x:v>
      </x:c>
      <x:c r="G385" s="16" t="str">
        <x:v>A high overlook frames the Mississippi River valley and city below.</x:v>
      </x:c>
      <x:c r="H385" s="16" t="str">
        <x:v>Scenic Overlook</x:v>
      </x:c>
      <x:c r="I385" s="16" t="str">
        <x:v>https://www.google.com/search?q=Grandad%20Bluff%20La%20Crosse%20Wisconsin%20official%20website</x:v>
      </x:c>
      <x:c r="J385" s="16" t="str">
        <x:v>https://www.google.com/search?q=site%3Atravelwisconsin.com%20Grandad%20Bluff</x:v>
      </x:c>
      <x:c r="K385" s="16" t="str">
        <x:v>https://www.google.com/search?q=Grandad%20Bluff%20La%20Crosse%20Wisconsin%20visitor%20information</x:v>
      </x:c>
      <x:c r="L385" s="16" t="str">
        <x:v>https://www.google.com/search?q=Grandad%20Bluff%20La%20Crosse%20Wisconsin%20photos</x:v>
      </x:c>
      <x:c r="M385" s="16" t="str">
        <x:v>https://www.google.com/search?q=Grandad%20Bluff%20La%20Crosse%20Wisconsin%20wikipedia%20OR%20wikivoyage</x:v>
      </x:c>
      <x:c r="N385" s="16" t="str">
        <x:v>https://www.google.com/maps/search/?api=1&amp;query=Grandad%20Bluff%2C%20La%20Crosse%2C%20Wisconsin</x:v>
      </x:c>
      <x:c r="O385" s="17" t="b">
        <x:v>1</x:v>
      </x:c>
      <x:c r="P385" s="16" t="b">
        <x:f>IFERROR(VLOOKUP(A385,States!$A$2:$B$18,2,FALSE),FALSE)</x:f>
        <x:v>1</x:v>
      </x:c>
      <x:c r="Q385" s="16" t="b">
        <x:f>AND(OR(O385=TRUE,O385="TRUE"),OR(P385=TRUE,P385="TRUE"))</x:f>
        <x:v>1</x:v>
      </x:c>
    </x:row>
    <x:row r="386">
      <x:c r="A386" s="16" t="str">
        <x:v>Wisconsin</x:v>
      </x:c>
      <x:c r="B386" s="16" t="str">
        <x:v>Superior</x:v>
      </x:c>
      <x:c r="C386" s="16" t="n">
        <x:v>-92.039</x:v>
      </x:c>
      <x:c r="D386" s="16" t="n">
        <x:v>46.721</x:v>
      </x:c>
      <x:c r="E386" s="16" t="str">
        <x:v>Amnicon Falls State Park</x:v>
      </x:c>
      <x:c r="F386" s="16" t="str">
        <x:v>Waterfall fans, families</x:v>
      </x:c>
      <x:c r="G386" s="16" t="str">
        <x:v>Cascades, covered bridge views, and short trails fit a Lake Superior route.</x:v>
      </x:c>
      <x:c r="H386" s="16" t="str">
        <x:v>Nature</x:v>
      </x:c>
      <x:c r="I386" s="16" t="str">
        <x:v>https://www.google.com/search?q=Amnicon%20Falls%20State%20Park%20Superior%20Wisconsin%20official%20website</x:v>
      </x:c>
      <x:c r="J386" s="16" t="str">
        <x:v>https://www.google.com/search?q=site%3Atravelwisconsin.com%20Amnicon%20Falls%20State%20Park</x:v>
      </x:c>
      <x:c r="K386" s="16" t="str">
        <x:v>https://www.google.com/search?q=Amnicon%20Falls%20State%20Park%20Superior%20Wisconsin%20visitor%20information</x:v>
      </x:c>
      <x:c r="L386" s="16" t="str">
        <x:v>https://www.google.com/search?q=Amnicon%20Falls%20State%20Park%20Superior%20Wisconsin%20photos</x:v>
      </x:c>
      <x:c r="M386" s="16" t="str">
        <x:v>https://www.google.com/search?q=Amnicon%20Falls%20State%20Park%20Superior%20Wisconsin%20wikipedia%20OR%20wikivoyage</x:v>
      </x:c>
      <x:c r="N386" s="16" t="str">
        <x:v>https://www.google.com/maps/search/?api=1&amp;query=Amnicon%20Falls%20State%20Park%2C%20Superior%2C%20Wisconsin</x:v>
      </x:c>
      <x:c r="O386" s="17" t="b">
        <x:v>1</x:v>
      </x:c>
      <x:c r="P386" s="16" t="b">
        <x:f>IFERROR(VLOOKUP(A386,States!$A$2:$B$18,2,FALSE),FALSE)</x:f>
        <x:v>1</x:v>
      </x:c>
      <x:c r="Q386" s="16" t="b">
        <x:f>AND(OR(O386=TRUE,O386="TRUE"),OR(P386=TRUE,P386="TRUE"))</x:f>
        <x:v>1</x:v>
      </x:c>
    </x:row>
    <x:row r="387">
      <x:c r="A387" s="16" t="str">
        <x:v>Wisconsin</x:v>
      </x:c>
      <x:c r="B387" s="16" t="str">
        <x:v>Sturgeon Bay</x:v>
      </x:c>
      <x:c r="C387" s="16" t="n">
        <x:v>-87.377</x:v>
      </x:c>
      <x:c r="D387" s="16" t="n">
        <x:v>44.834</x:v>
      </x:c>
      <x:c r="E387" s="16" t="str">
        <x:v>Door County Maritime Museum</x:v>
      </x:c>
      <x:c r="F387" s="16" t="str">
        <x:v>Families, maritime-history fans</x:v>
      </x:c>
      <x:c r="G387" s="16" t="str">
        <x:v>Shipbuilding and lighthouse stories add depth to a Door County visit.</x:v>
      </x:c>
      <x:c r="H387" s="16" t="str">
        <x:v>Museum</x:v>
      </x:c>
      <x:c r="I387" s="16" t="str">
        <x:v>https://www.google.com/search?q=Door%20County%20Maritime%20Museum%20Sturgeon%20Bay%20Wisconsin%20official%20website</x:v>
      </x:c>
      <x:c r="J387" s="16" t="str">
        <x:v>https://www.google.com/search?q=site%3Atravelwisconsin.com%20Door%20County%20Maritime%20Museum</x:v>
      </x:c>
      <x:c r="K387" s="16" t="str">
        <x:v>https://www.google.com/search?q=Door%20County%20Maritime%20Museum%20Sturgeon%20Bay%20Wisconsin%20visitor%20information</x:v>
      </x:c>
      <x:c r="L387" s="16" t="str">
        <x:v>https://www.google.com/search?q=Door%20County%20Maritime%20Museum%20Sturgeon%20Bay%20Wisconsin%20photos</x:v>
      </x:c>
      <x:c r="M387" s="16" t="str">
        <x:v>https://www.google.com/search?q=Door%20County%20Maritime%20Museum%20Sturgeon%20Bay%20Wisconsin%20wikipedia%20OR%20wikivoyage</x:v>
      </x:c>
      <x:c r="N387" s="16" t="str">
        <x:v>https://www.google.com/maps/search/?api=1&amp;query=Door%20County%20Maritime%20Museum%2C%20Sturgeon%20Bay%2C%20Wisconsin</x:v>
      </x:c>
      <x:c r="O387" s="17" t="b">
        <x:v>1</x:v>
      </x:c>
      <x:c r="P387" s="16" t="b">
        <x:f>IFERROR(VLOOKUP(A387,States!$A$2:$B$18,2,FALSE),FALSE)</x:f>
        <x:v>1</x:v>
      </x:c>
      <x:c r="Q387" s="16" t="b">
        <x:f>AND(OR(O387=TRUE,O387="TRUE"),OR(P387=TRUE,P387="TRUE"))</x:f>
        <x:v>1</x:v>
      </x:c>
    </x:row>
    <x:row r="388">
      <x:c r="A388" s="16" t="str">
        <x:v>Wisconsin</x:v>
      </x:c>
      <x:c r="B388" s="16" t="str">
        <x:v>Green Bay</x:v>
      </x:c>
      <x:c r="C388" s="16" t="n">
        <x:v>-88.016</x:v>
      </x:c>
      <x:c r="D388" s="16" t="n">
        <x:v>44.529</x:v>
      </x:c>
      <x:c r="E388" s="16" t="str">
        <x:v>Bay Beach Wildlife Sanctuary</x:v>
      </x:c>
      <x:c r="F388" s="16" t="str">
        <x:v>Families, birders</x:v>
      </x:c>
      <x:c r="G388" s="16" t="str">
        <x:v>Trails, wildlife rehabilitation, and easy viewing make a quiet Green Bay stop.</x:v>
      </x:c>
      <x:c r="H388" s="16" t="str">
        <x:v>Wildlife</x:v>
      </x:c>
      <x:c r="I388" s="16" t="str">
        <x:v>https://www.google.com/search?q=Bay%20Beach%20Wildlife%20Sanctuary%20Green%20Bay%20Wisconsin%20official%20website</x:v>
      </x:c>
      <x:c r="J388" s="16" t="str">
        <x:v>https://www.google.com/search?q=site%3Atravelwisconsin.com%20Bay%20Beach%20Wildlife%20Sanctuary</x:v>
      </x:c>
      <x:c r="K388" s="16" t="str">
        <x:v>https://www.google.com/search?q=Bay%20Beach%20Wildlife%20Sanctuary%20Green%20Bay%20Wisconsin%20visitor%20information</x:v>
      </x:c>
      <x:c r="L388" s="16" t="str">
        <x:v>https://www.google.com/search?q=Bay%20Beach%20Wildlife%20Sanctuary%20Green%20Bay%20Wisconsin%20photos</x:v>
      </x:c>
      <x:c r="M388" s="16" t="str">
        <x:v>https://www.google.com/search?q=Bay%20Beach%20Wildlife%20Sanctuary%20Green%20Bay%20Wisconsin%20wikipedia%20OR%20wikivoyage</x:v>
      </x:c>
      <x:c r="N388" s="16" t="str">
        <x:v>https://www.google.com/maps/search/?api=1&amp;query=Bay%20Beach%20Wildlife%20Sanctuary%2C%20Green%20Bay%2C%20Wisconsin</x:v>
      </x:c>
      <x:c r="O388" s="17" t="b">
        <x:v>1</x:v>
      </x:c>
      <x:c r="P388" s="16" t="b">
        <x:f>IFERROR(VLOOKUP(A388,States!$A$2:$B$18,2,FALSE),FALSE)</x:f>
        <x:v>1</x:v>
      </x:c>
      <x:c r="Q388" s="16" t="b">
        <x:f>AND(OR(O388=TRUE,O388="TRUE"),OR(P388=TRUE,P388="TRUE"))</x:f>
        <x:v>1</x:v>
      </x:c>
    </x:row>
    <x:row r="389">
      <x:c r="A389" s="16" t="str">
        <x:v>Wisconsin</x:v>
      </x:c>
      <x:c r="B389" s="16" t="str">
        <x:v>Eagle</x:v>
      </x:c>
      <x:c r="C389" s="16" t="n">
        <x:v>-88.491</x:v>
      </x:c>
      <x:c r="D389" s="16" t="n">
        <x:v>42.866</x:v>
      </x:c>
      <x:c r="E389" s="16" t="str">
        <x:v>Old World Wisconsin</x:v>
      </x:c>
      <x:c r="F389" s="16" t="str">
        <x:v>Families, history travelers</x:v>
      </x:c>
      <x:c r="G389" s="16" t="str">
        <x:v>Open-air farms and villages interpret immigrant life and rural work.</x:v>
      </x:c>
      <x:c r="H389" s="16" t="str">
        <x:v>Living History</x:v>
      </x:c>
      <x:c r="I389" s="16" t="str">
        <x:v>https://www.google.com/search?q=Old%20World%20Wisconsin%20Eagle%20Wisconsin%20official%20website</x:v>
      </x:c>
      <x:c r="J389" s="16" t="str">
        <x:v>https://www.google.com/search?q=site%3Atravelwisconsin.com%20Old%20World%20Wisconsin</x:v>
      </x:c>
      <x:c r="K389" s="16" t="str">
        <x:v>https://www.google.com/search?q=Old%20World%20Wisconsin%20Eagle%20Wisconsin%20visitor%20information</x:v>
      </x:c>
      <x:c r="L389" s="16" t="str">
        <x:v>https://www.google.com/search?q=Old%20World%20Wisconsin%20Eagle%20Wisconsin%20photos</x:v>
      </x:c>
      <x:c r="M389" s="16" t="str">
        <x:v>https://www.google.com/search?q=Old%20World%20Wisconsin%20Eagle%20Wisconsin%20wikipedia%20OR%20wikivoyage</x:v>
      </x:c>
      <x:c r="N389" s="16" t="str">
        <x:v>https://www.google.com/maps/search/?api=1&amp;query=Old%20World%20Wisconsin%2C%20Eagle%2C%20Wisconsin</x:v>
      </x:c>
      <x:c r="O389" s="17" t="b">
        <x:v>1</x:v>
      </x:c>
      <x:c r="P389" s="16" t="b">
        <x:f>IFERROR(VLOOKUP(A389,States!$A$2:$B$18,2,FALSE),FALSE)</x:f>
        <x:v>1</x:v>
      </x:c>
      <x:c r="Q389" s="16" t="b">
        <x:f>AND(OR(O389=TRUE,O389="TRUE"),OR(P389=TRUE,P389="TRUE"))</x:f>
        <x:v>1</x:v>
      </x:c>
    </x:row>
    <x:row r="390">
      <x:c r="A390" s="16" t="str">
        <x:v>Wisconsin</x:v>
      </x:c>
      <x:c r="B390" s="16" t="str">
        <x:v>Sturgeon Bay</x:v>
      </x:c>
      <x:c r="C390" s="16" t="n">
        <x:v>-87.249</x:v>
      </x:c>
      <x:c r="D390" s="16" t="n">
        <x:v>44.844</x:v>
      </x:c>
      <x:c r="E390" s="16" t="str">
        <x:v>The Ridges Sanctuary</x:v>
      </x:c>
      <x:c r="F390" s="16" t="str">
        <x:v>Birders, walkers, nature lovers</x:v>
      </x:c>
      <x:c r="G390" s="16" t="str">
        <x:v>Rare habitats, boardwalks, and orchids reveal Door County ecology.</x:v>
      </x:c>
      <x:c r="H390" s="16" t="str">
        <x:v>Nature</x:v>
      </x:c>
      <x:c r="I390" s="16" t="str">
        <x:v>https://www.google.com/search?q=The%20Ridges%20Sanctuary%20Sturgeon%20Bay%20Wisconsin%20official%20website</x:v>
      </x:c>
      <x:c r="J390" s="16" t="str">
        <x:v>https://www.google.com/search?q=site%3Atravelwisconsin.com%20The%20Ridges%20Sanctuary</x:v>
      </x:c>
      <x:c r="K390" s="16" t="str">
        <x:v>https://www.google.com/search?q=The%20Ridges%20Sanctuary%20Sturgeon%20Bay%20Wisconsin%20visitor%20information</x:v>
      </x:c>
      <x:c r="L390" s="16" t="str">
        <x:v>https://www.google.com/search?q=The%20Ridges%20Sanctuary%20Sturgeon%20Bay%20Wisconsin%20photos</x:v>
      </x:c>
      <x:c r="M390" s="16" t="str">
        <x:v>https://www.google.com/search?q=The%20Ridges%20Sanctuary%20Sturgeon%20Bay%20Wisconsin%20wikipedia%20OR%20wikivoyage</x:v>
      </x:c>
      <x:c r="N390" s="16" t="str">
        <x:v>https://www.google.com/maps/search/?api=1&amp;query=The%20Ridges%20Sanctuary%2C%20Sturgeon%20Bay%2C%20Wisconsin</x:v>
      </x:c>
      <x:c r="O390" s="17" t="b">
        <x:v>1</x:v>
      </x:c>
      <x:c r="P390" s="16" t="b">
        <x:f>IFERROR(VLOOKUP(A390,States!$A$2:$B$18,2,FALSE),FALSE)</x:f>
        <x:v>1</x:v>
      </x:c>
      <x:c r="Q390" s="16" t="b">
        <x:f>AND(OR(O390=TRUE,O390="TRUE"),OR(P390=TRUE,P390="TRUE"))</x:f>
        <x:v>1</x:v>
      </x:c>
    </x:row>
    <x:row r="391">
      <x:c r="A391" s="16" t="str">
        <x:v>Wisconsin</x:v>
      </x:c>
      <x:c r="B391" s="16" t="str">
        <x:v>Hayward</x:v>
      </x:c>
      <x:c r="C391" s="16" t="n">
        <x:v>-91.489</x:v>
      </x:c>
      <x:c r="D391" s="16" t="n">
        <x:v>46.013</x:v>
      </x:c>
      <x:c r="E391" s="16" t="str">
        <x:v>Fresh Water Fishing Hall of Fame</x:v>
      </x:c>
      <x:c r="F391" s="16" t="str">
        <x:v>Anglers, roadside fans, families</x:v>
      </x:c>
      <x:c r="G391" s="16" t="str">
        <x:v>A giant muskie and fishing exhibits make a playful Northwoods stop.</x:v>
      </x:c>
      <x:c r="H391" s="16" t="str">
        <x:v>Roadside</x:v>
      </x:c>
      <x:c r="I391" s="16" t="str">
        <x:v>https://www.google.com/search?q=Fresh%20Water%20Fishing%20Hall%20of%20Fame%20Hayward%20Wisconsin%20official%20website</x:v>
      </x:c>
      <x:c r="J391" s="16" t="str">
        <x:v>https://www.google.com/search?q=site%3Atravelwisconsin.com%20Fresh%20Water%20Fishing%20Hall%20of%20Fame</x:v>
      </x:c>
      <x:c r="K391" s="16" t="str">
        <x:v>https://www.google.com/search?q=Fresh%20Water%20Fishing%20Hall%20of%20Fame%20Hayward%20Wisconsin%20visitor%20information</x:v>
      </x:c>
      <x:c r="L391" s="16" t="str">
        <x:v>https://www.google.com/search?q=Fresh%20Water%20Fishing%20Hall%20of%20Fame%20Hayward%20Wisconsin%20photos</x:v>
      </x:c>
      <x:c r="M391" s="16" t="str">
        <x:v>https://www.google.com/search?q=Fresh%20Water%20Fishing%20Hall%20of%20Fame%20Hayward%20Wisconsin%20wikipedia%20OR%20wikivoyage</x:v>
      </x:c>
      <x:c r="N391" s="16" t="str">
        <x:v>https://www.google.com/maps/search/?api=1&amp;query=Fresh%20Water%20Fishing%20Hall%20of%20Fame%2C%20Hayward%2C%20Wisconsin</x:v>
      </x:c>
      <x:c r="O391" s="17" t="b">
        <x:v>1</x:v>
      </x:c>
      <x:c r="P391" s="16" t="b">
        <x:f>IFERROR(VLOOKUP(A391,States!$A$2:$B$18,2,FALSE),FALSE)</x:f>
        <x:v>1</x:v>
      </x:c>
      <x:c r="Q391" s="16" t="b">
        <x:f>AND(OR(O391=TRUE,O391="TRUE"),OR(P391=TRUE,P391="TRUE"))</x:f>
        <x:v>1</x:v>
      </x:c>
    </x:row>
    <x:row r="392">
      <x:c r="A392" s="16" t="str">
        <x:v>Minnesota</x:v>
      </x:c>
      <x:c r="B392" s="16" t="str">
        <x:v>Grand Marais</x:v>
      </x:c>
      <x:c r="C392" s="16" t="n">
        <x:v>-90.334</x:v>
      </x:c>
      <x:c r="D392" s="16" t="n">
        <x:v>47.75</x:v>
      </x:c>
      <x:c r="E392" s="16" t="str">
        <x:v>Grand Marais Harbor</x:v>
      </x:c>
      <x:c r="F392" s="16" t="str">
        <x:v>Artists, food lovers, scenic drivers</x:v>
      </x:c>
      <x:c r="G392" s="16" t="str">
        <x:v>A Lake Superior harbor town offers art, dining, and North Shore views.</x:v>
      </x:c>
      <x:c r="H392" s="16" t="str">
        <x:v>Scenic Town</x:v>
      </x:c>
      <x:c r="I392" s="16" t="str">
        <x:v>https://www.google.com/search?q=Grand%20Marais%20Harbor%20Grand%20Marais%20Minnesota%20official%20website</x:v>
      </x:c>
      <x:c r="J392" s="16" t="str">
        <x:v>https://www.google.com/search?q=site%3Aexploreminnesota.com%20Grand%20Marais%20Harbor</x:v>
      </x:c>
      <x:c r="K392" s="16" t="str">
        <x:v>https://www.google.com/search?q=Grand%20Marais%20Harbor%20Grand%20Marais%20Minnesota%20visitor%20information</x:v>
      </x:c>
      <x:c r="L392" s="16" t="str">
        <x:v>https://www.google.com/search?q=Grand%20Marais%20Harbor%20Grand%20Marais%20Minnesota%20photos</x:v>
      </x:c>
      <x:c r="M392" s="16" t="str">
        <x:v>https://www.google.com/search?q=Grand%20Marais%20Harbor%20Grand%20Marais%20Minnesota%20wikipedia%20OR%20wikivoyage</x:v>
      </x:c>
      <x:c r="N392" s="16" t="str">
        <x:v>https://www.google.com/maps/search/?api=1&amp;query=Grand%20Marais%20Harbor%2C%20Grand%20Marais%2C%20Minnesota</x:v>
      </x:c>
      <x:c r="O392" s="17" t="b">
        <x:v>1</x:v>
      </x:c>
      <x:c r="P392" s="16" t="b">
        <x:f>IFERROR(VLOOKUP(A392,States!$A$2:$B$18,2,FALSE),FALSE)</x:f>
        <x:v>1</x:v>
      </x:c>
      <x:c r="Q392" s="16" t="b">
        <x:f>AND(OR(O392=TRUE,O392="TRUE"),OR(P392=TRUE,P392="TRUE"))</x:f>
        <x:v>1</x:v>
      </x:c>
    </x:row>
    <x:row r="393">
      <x:c r="A393" s="16" t="str">
        <x:v>Minnesota</x:v>
      </x:c>
      <x:c r="B393" s="16" t="str">
        <x:v>Lutsen</x:v>
      </x:c>
      <x:c r="C393" s="16" t="n">
        <x:v>-90.713</x:v>
      </x:c>
      <x:c r="D393" s="16" t="n">
        <x:v>47.636</x:v>
      </x:c>
      <x:c r="E393" s="16" t="str">
        <x:v>Lutsen Mountains</x:v>
      </x:c>
      <x:c r="F393" s="16" t="str">
        <x:v>Skiers, hikers, families</x:v>
      </x:c>
      <x:c r="G393" s="16" t="str">
        <x:v>Mountain lifts and Superior views make a year-round North Shore base.</x:v>
      </x:c>
      <x:c r="H393" s="16" t="str">
        <x:v>Resort</x:v>
      </x:c>
      <x:c r="I393" s="16" t="str">
        <x:v>https://www.google.com/search?q=Lutsen%20Mountains%20Lutsen%20Minnesota%20official%20website</x:v>
      </x:c>
      <x:c r="J393" s="16" t="str">
        <x:v>https://www.google.com/search?q=site%3Aexploreminnesota.com%20Lutsen%20Mountains</x:v>
      </x:c>
      <x:c r="K393" s="16" t="str">
        <x:v>https://www.google.com/search?q=Lutsen%20Mountains%20Lutsen%20Minnesota%20visitor%20information</x:v>
      </x:c>
      <x:c r="L393" s="16" t="str">
        <x:v>https://www.google.com/search?q=Lutsen%20Mountains%20Lutsen%20Minnesota%20photos</x:v>
      </x:c>
      <x:c r="M393" s="16" t="str">
        <x:v>https://www.google.com/search?q=Lutsen%20Mountains%20Lutsen%20Minnesota%20wikipedia%20OR%20wikivoyage</x:v>
      </x:c>
      <x:c r="N393" s="16" t="str">
        <x:v>https://www.google.com/maps/search/?api=1&amp;query=Lutsen%20Mountains%2C%20Lutsen%2C%20Minnesota</x:v>
      </x:c>
      <x:c r="O393" s="17" t="b">
        <x:v>1</x:v>
      </x:c>
      <x:c r="P393" s="16" t="b">
        <x:f>IFERROR(VLOOKUP(A393,States!$A$2:$B$18,2,FALSE),FALSE)</x:f>
        <x:v>1</x:v>
      </x:c>
      <x:c r="Q393" s="16" t="b">
        <x:f>AND(OR(O393=TRUE,O393="TRUE"),OR(P393=TRUE,P393="TRUE"))</x:f>
        <x:v>1</x:v>
      </x:c>
    </x:row>
    <x:row r="394">
      <x:c r="A394" s="16" t="str">
        <x:v>Minnesota</x:v>
      </x:c>
      <x:c r="B394" s="16" t="str">
        <x:v>Rochester</x:v>
      </x:c>
      <x:c r="C394" s="16" t="n">
        <x:v>-92.463</x:v>
      </x:c>
      <x:c r="D394" s="16" t="n">
        <x:v>44.023</x:v>
      </x:c>
      <x:c r="E394" s="16" t="str">
        <x:v>Mayo Clinic Heritage Hall and Downtown Rochester</x:v>
      </x:c>
      <x:c r="F394" s="16" t="str">
        <x:v>Medical-history fans, city explorers</x:v>
      </x:c>
      <x:c r="G394" s="16" t="str">
        <x:v>Medical innovation history anchors a walkable southern Minnesota city stop.</x:v>
      </x:c>
      <x:c r="H394" s="16" t="str">
        <x:v>Museum</x:v>
      </x:c>
      <x:c r="I394" s="16" t="str">
        <x:v>https://www.google.com/search?q=Mayo%20Clinic%20Heritage%20Hall%20and%20Downtown%20Rochester%20Rochester%20Minnesota%20official%20website</x:v>
      </x:c>
      <x:c r="J394" s="16" t="str">
        <x:v>https://www.google.com/search?q=site%3Aexploreminnesota.com%20Mayo%20Clinic%20Heritage%20Hall%20and%20Downtown%20Rochester</x:v>
      </x:c>
      <x:c r="K394" s="16" t="str">
        <x:v>https://www.google.com/search?q=Mayo%20Clinic%20Heritage%20Hall%20and%20Downtown%20Rochester%20Rochester%20Minnesota%20visitor%20information</x:v>
      </x:c>
      <x:c r="L394" s="16" t="str">
        <x:v>https://www.google.com/search?q=Mayo%20Clinic%20Heritage%20Hall%20and%20Downtown%20Rochester%20Rochester%20Minnesota%20photos</x:v>
      </x:c>
      <x:c r="M394" s="16" t="str">
        <x:v>https://www.google.com/search?q=Mayo%20Clinic%20Heritage%20Hall%20and%20Downtown%20Rochester%20Rochester%20Minnesota%20wikipedia%20OR%20wikivoyage</x:v>
      </x:c>
      <x:c r="N394" s="16" t="str">
        <x:v>https://www.google.com/maps/search/?api=1&amp;query=Mayo%20Clinic%20Heritage%20Hall%20and%20Downtown%20Rochester%2C%20Rochester%2C%20Minnesota</x:v>
      </x:c>
      <x:c r="O394" s="17" t="b">
        <x:v>1</x:v>
      </x:c>
      <x:c r="P394" s="16" t="b">
        <x:f>IFERROR(VLOOKUP(A394,States!$A$2:$B$18,2,FALSE),FALSE)</x:f>
        <x:v>1</x:v>
      </x:c>
      <x:c r="Q394" s="16" t="b">
        <x:f>AND(OR(O394=TRUE,O394="TRUE"),OR(P394=TRUE,P394="TRUE"))</x:f>
        <x:v>1</x:v>
      </x:c>
    </x:row>
    <x:row r="395">
      <x:c r="A395" s="16" t="str">
        <x:v>Minnesota</x:v>
      </x:c>
      <x:c r="B395" s="16" t="str">
        <x:v>Stillwater</x:v>
      </x:c>
      <x:c r="C395" s="16" t="n">
        <x:v>-92.806</x:v>
      </x:c>
      <x:c r="D395" s="16" t="n">
        <x:v>45.056</x:v>
      </x:c>
      <x:c r="E395" s="16" t="str">
        <x:v>Stillwater Historic District</x:v>
      </x:c>
      <x:c r="F395" s="16" t="str">
        <x:v>Couples, food lovers, scenic drivers</x:v>
      </x:c>
      <x:c r="G395" s="16" t="str">
        <x:v>Riverfront streets and historic buildings make an easy Twin Cities day trip.</x:v>
      </x:c>
      <x:c r="H395" s="16" t="str">
        <x:v>Scenic Town</x:v>
      </x:c>
      <x:c r="I395" s="16" t="str">
        <x:v>https://www.google.com/search?q=Stillwater%20Historic%20District%20Stillwater%20Minnesota%20official%20website</x:v>
      </x:c>
      <x:c r="J395" s="16" t="str">
        <x:v>https://www.google.com/search?q=site%3Aexploreminnesota.com%20Stillwater%20Historic%20District</x:v>
      </x:c>
      <x:c r="K395" s="16" t="str">
        <x:v>https://www.google.com/search?q=Stillwater%20Historic%20District%20Stillwater%20Minnesota%20visitor%20information</x:v>
      </x:c>
      <x:c r="L395" s="16" t="str">
        <x:v>https://www.google.com/search?q=Stillwater%20Historic%20District%20Stillwater%20Minnesota%20photos</x:v>
      </x:c>
      <x:c r="M395" s="16" t="str">
        <x:v>https://www.google.com/search?q=Stillwater%20Historic%20District%20Stillwater%20Minnesota%20wikipedia%20OR%20wikivoyage</x:v>
      </x:c>
      <x:c r="N395" s="16" t="str">
        <x:v>https://www.google.com/maps/search/?api=1&amp;query=Stillwater%20Historic%20District%2C%20Stillwater%2C%20Minnesota</x:v>
      </x:c>
      <x:c r="O395" s="17" t="b">
        <x:v>1</x:v>
      </x:c>
      <x:c r="P395" s="16" t="b">
        <x:f>IFERROR(VLOOKUP(A395,States!$A$2:$B$18,2,FALSE),FALSE)</x:f>
        <x:v>1</x:v>
      </x:c>
      <x:c r="Q395" s="16" t="b">
        <x:f>AND(OR(O395=TRUE,O395="TRUE"),OR(P395=TRUE,P395="TRUE"))</x:f>
        <x:v>1</x:v>
      </x:c>
    </x:row>
    <x:row r="396">
      <x:c r="A396" s="16" t="str">
        <x:v>Minnesota</x:v>
      </x:c>
      <x:c r="B396" s="16" t="str">
        <x:v>Mankato</x:v>
      </x:c>
      <x:c r="C396" s="16" t="n">
        <x:v>-94.001</x:v>
      </x:c>
      <x:c r="D396" s="16" t="n">
        <x:v>44.165</x:v>
      </x:c>
      <x:c r="E396" s="16" t="str">
        <x:v>Minneopa State Park</x:v>
      </x:c>
      <x:c r="F396" s="16" t="str">
        <x:v>Families, waterfall fans, wildlife watchers</x:v>
      </x:c>
      <x:c r="G396" s="16" t="str">
        <x:v>Waterfalls and a bison range create varied prairie-edge scenery.</x:v>
      </x:c>
      <x:c r="H396" s="16" t="str">
        <x:v>Nature</x:v>
      </x:c>
      <x:c r="I396" s="16" t="str">
        <x:v>https://www.google.com/search?q=Minneopa%20State%20Park%20Mankato%20Minnesota%20official%20website</x:v>
      </x:c>
      <x:c r="J396" s="16" t="str">
        <x:v>https://www.google.com/search?q=site%3Aexploreminnesota.com%20Minneopa%20State%20Park</x:v>
      </x:c>
      <x:c r="K396" s="16" t="str">
        <x:v>https://www.google.com/search?q=Minneopa%20State%20Park%20Mankato%20Minnesota%20visitor%20information</x:v>
      </x:c>
      <x:c r="L396" s="16" t="str">
        <x:v>https://www.google.com/search?q=Minneopa%20State%20Park%20Mankato%20Minnesota%20photos</x:v>
      </x:c>
      <x:c r="M396" s="16" t="str">
        <x:v>https://www.google.com/search?q=Minneopa%20State%20Park%20Mankato%20Minnesota%20wikipedia%20OR%20wikivoyage</x:v>
      </x:c>
      <x:c r="N396" s="16" t="str">
        <x:v>https://www.google.com/maps/search/?api=1&amp;query=Minneopa%20State%20Park%2C%20Mankato%2C%20Minnesota</x:v>
      </x:c>
      <x:c r="O396" s="17" t="b">
        <x:v>1</x:v>
      </x:c>
      <x:c r="P396" s="16" t="b">
        <x:f>IFERROR(VLOOKUP(A396,States!$A$2:$B$18,2,FALSE),FALSE)</x:f>
        <x:v>1</x:v>
      </x:c>
      <x:c r="Q396" s="16" t="b">
        <x:f>AND(OR(O396=TRUE,O396="TRUE"),OR(P396=TRUE,P396="TRUE"))</x:f>
        <x:v>1</x:v>
      </x:c>
    </x:row>
    <x:row r="397">
      <x:c r="A397" s="16" t="str">
        <x:v>Minnesota</x:v>
      </x:c>
      <x:c r="B397" s="16" t="str">
        <x:v>New Ulm</x:v>
      </x:c>
      <x:c r="C397" s="16" t="n">
        <x:v>-94.46</x:v>
      </x:c>
      <x:c r="D397" s="16" t="n">
        <x:v>44.315</x:v>
      </x:c>
      <x:c r="E397" s="16" t="str">
        <x:v>New Ulm and Hermann Monument</x:v>
      </x:c>
      <x:c r="F397" s="16" t="str">
        <x:v>Culture travelers, families</x:v>
      </x:c>
      <x:c r="G397" s="16" t="str">
        <x:v>German heritage, brewing history, and a landmark monument define the town.</x:v>
      </x:c>
      <x:c r="H397" s="16" t="str">
        <x:v>Cultural Site</x:v>
      </x:c>
      <x:c r="I397" s="16" t="str">
        <x:v>https://www.google.com/search?q=New%20Ulm%20and%20Hermann%20Monument%20New%20Ulm%20Minnesota%20official%20website</x:v>
      </x:c>
      <x:c r="J397" s="16" t="str">
        <x:v>https://www.google.com/search?q=site%3Aexploreminnesota.com%20New%20Ulm%20and%20Hermann%20Monument</x:v>
      </x:c>
      <x:c r="K397" s="16" t="str">
        <x:v>https://www.google.com/search?q=New%20Ulm%20and%20Hermann%20Monument%20New%20Ulm%20Minnesota%20visitor%20information</x:v>
      </x:c>
      <x:c r="L397" s="16" t="str">
        <x:v>https://www.google.com/search?q=New%20Ulm%20and%20Hermann%20Monument%20New%20Ulm%20Minnesota%20photos</x:v>
      </x:c>
      <x:c r="M397" s="16" t="str">
        <x:v>https://www.google.com/search?q=New%20Ulm%20and%20Hermann%20Monument%20New%20Ulm%20Minnesota%20wikipedia%20OR%20wikivoyage</x:v>
      </x:c>
      <x:c r="N397" s="16" t="str">
        <x:v>https://www.google.com/maps/search/?api=1&amp;query=New%20Ulm%20and%20Hermann%20Monument%2C%20New%20Ulm%2C%20Minnesota</x:v>
      </x:c>
      <x:c r="O397" s="17" t="b">
        <x:v>1</x:v>
      </x:c>
      <x:c r="P397" s="16" t="b">
        <x:f>IFERROR(VLOOKUP(A397,States!$A$2:$B$18,2,FALSE),FALSE)</x:f>
        <x:v>1</x:v>
      </x:c>
      <x:c r="Q397" s="16" t="b">
        <x:f>AND(OR(O397=TRUE,O397="TRUE"),OR(P397=TRUE,P397="TRUE"))</x:f>
        <x:v>1</x:v>
      </x:c>
    </x:row>
    <x:row r="398">
      <x:c r="A398" s="16" t="str">
        <x:v>Minnesota</x:v>
      </x:c>
      <x:c r="B398" s="16" t="str">
        <x:v>Winona</x:v>
      </x:c>
      <x:c r="C398" s="16" t="n">
        <x:v>-91.64</x:v>
      </x:c>
      <x:c r="D398" s="16" t="n">
        <x:v>44.055</x:v>
      </x:c>
      <x:c r="E398" s="16" t="str">
        <x:v>Great River Bluffs State Park</x:v>
      </x:c>
      <x:c r="F398" s="16" t="str">
        <x:v>Hikers, photographers</x:v>
      </x:c>
      <x:c r="G398" s="16" t="str">
        <x:v>Blufftop trails reveal sweeping Mississippi River valley views.</x:v>
      </x:c>
      <x:c r="H398" s="16" t="str">
        <x:v>Nature</x:v>
      </x:c>
      <x:c r="I398" s="16" t="str">
        <x:v>https://www.google.com/search?q=Great%20River%20Bluffs%20State%20Park%20Winona%20Minnesota%20official%20website</x:v>
      </x:c>
      <x:c r="J398" s="16" t="str">
        <x:v>https://www.google.com/search?q=site%3Aexploreminnesota.com%20Great%20River%20Bluffs%20State%20Park</x:v>
      </x:c>
      <x:c r="K398" s="16" t="str">
        <x:v>https://www.google.com/search?q=Great%20River%20Bluffs%20State%20Park%20Winona%20Minnesota%20visitor%20information</x:v>
      </x:c>
      <x:c r="L398" s="16" t="str">
        <x:v>https://www.google.com/search?q=Great%20River%20Bluffs%20State%20Park%20Winona%20Minnesota%20photos</x:v>
      </x:c>
      <x:c r="M398" s="16" t="str">
        <x:v>https://www.google.com/search?q=Great%20River%20Bluffs%20State%20Park%20Winona%20Minnesota%20wikipedia%20OR%20wikivoyage</x:v>
      </x:c>
      <x:c r="N398" s="16" t="str">
        <x:v>https://www.google.com/maps/search/?api=1&amp;query=Great%20River%20Bluffs%20State%20Park%2C%20Winona%2C%20Minnesota</x:v>
      </x:c>
      <x:c r="O398" s="17" t="b">
        <x:v>1</x:v>
      </x:c>
      <x:c r="P398" s="16" t="b">
        <x:f>IFERROR(VLOOKUP(A398,States!$A$2:$B$18,2,FALSE),FALSE)</x:f>
        <x:v>1</x:v>
      </x:c>
      <x:c r="Q398" s="16" t="b">
        <x:f>AND(OR(O398=TRUE,O398="TRUE"),OR(P398=TRUE,P398="TRUE"))</x:f>
        <x:v>1</x:v>
      </x:c>
    </x:row>
    <x:row r="399">
      <x:c r="A399" s="16" t="str">
        <x:v>Minnesota</x:v>
      </x:c>
      <x:c r="B399" s="16" t="str">
        <x:v>Minneapolis</x:v>
      </x:c>
      <x:c r="C399" s="16" t="n">
        <x:v>-93.257</x:v>
      </x:c>
      <x:c r="D399" s="16" t="n">
        <x:v>44.975</x:v>
      </x:c>
      <x:c r="E399" s="16" t="str">
        <x:v>Mill City Museum</x:v>
      </x:c>
      <x:c r="F399" s="16" t="str">
        <x:v>History fans, families</x:v>
      </x:c>
      <x:c r="G399" s="16" t="str">
        <x:v>Flour-milling ruins explain how Minneapolis grew on the Mississippi.</x:v>
      </x:c>
      <x:c r="H399" s="16" t="str">
        <x:v>Museum</x:v>
      </x:c>
      <x:c r="I399" s="16" t="str">
        <x:v>https://www.google.com/search?q=Mill%20City%20Museum%20Minneapolis%20Minnesota%20official%20website</x:v>
      </x:c>
      <x:c r="J399" s="16" t="str">
        <x:v>https://www.google.com/search?q=site%3Aexploreminnesota.com%20Mill%20City%20Museum</x:v>
      </x:c>
      <x:c r="K399" s="16" t="str">
        <x:v>https://www.google.com/search?q=Mill%20City%20Museum%20Minneapolis%20Minnesota%20visitor%20information</x:v>
      </x:c>
      <x:c r="L399" s="16" t="str">
        <x:v>https://www.google.com/search?q=Mill%20City%20Museum%20Minneapolis%20Minnesota%20photos</x:v>
      </x:c>
      <x:c r="M399" s="16" t="str">
        <x:v>https://www.google.com/search?q=Mill%20City%20Museum%20Minneapolis%20Minnesota%20wikipedia%20OR%20wikivoyage</x:v>
      </x:c>
      <x:c r="N399" s="16" t="str">
        <x:v>https://www.google.com/maps/search/?api=1&amp;query=Mill%20City%20Museum%2C%20Minneapolis%2C%20Minnesota</x:v>
      </x:c>
      <x:c r="O399" s="17" t="b">
        <x:v>1</x:v>
      </x:c>
      <x:c r="P399" s="16" t="b">
        <x:f>IFERROR(VLOOKUP(A399,States!$A$2:$B$18,2,FALSE),FALSE)</x:f>
        <x:v>1</x:v>
      </x:c>
      <x:c r="Q399" s="16" t="b">
        <x:f>AND(OR(O399=TRUE,O399="TRUE"),OR(P399=TRUE,P399="TRUE"))</x:f>
        <x:v>1</x:v>
      </x:c>
    </x:row>
    <x:row r="400">
      <x:c r="A400" s="16" t="str">
        <x:v>Minnesota</x:v>
      </x:c>
      <x:c r="B400" s="16" t="str">
        <x:v>Duluth</x:v>
      </x:c>
      <x:c r="C400" s="16" t="n">
        <x:v>-92.1</x:v>
      </x:c>
      <x:c r="D400" s="16" t="n">
        <x:v>46.785</x:v>
      </x:c>
      <x:c r="E400" s="16" t="str">
        <x:v>Great Lakes Aquarium</x:v>
      </x:c>
      <x:c r="F400" s="16" t="str">
        <x:v>Families, animal lovers</x:v>
      </x:c>
      <x:c r="G400" s="16" t="str">
        <x:v>Freshwater exhibits connect Lake Superior to global aquatic habitats.</x:v>
      </x:c>
      <x:c r="H400" s="16" t="str">
        <x:v>Zoo/Aquarium</x:v>
      </x:c>
      <x:c r="I400" s="16" t="str">
        <x:v>https://www.google.com/search?q=Great%20Lakes%20Aquarium%20Duluth%20Minnesota%20official%20website</x:v>
      </x:c>
      <x:c r="J400" s="16" t="str">
        <x:v>https://www.google.com/search?q=site%3Aexploreminnesota.com%20Great%20Lakes%20Aquarium</x:v>
      </x:c>
      <x:c r="K400" s="16" t="str">
        <x:v>https://www.google.com/search?q=Great%20Lakes%20Aquarium%20Duluth%20Minnesota%20visitor%20information</x:v>
      </x:c>
      <x:c r="L400" s="16" t="str">
        <x:v>https://www.google.com/search?q=Great%20Lakes%20Aquarium%20Duluth%20Minnesota%20photos</x:v>
      </x:c>
      <x:c r="M400" s="16" t="str">
        <x:v>https://www.google.com/search?q=Great%20Lakes%20Aquarium%20Duluth%20Minnesota%20wikipedia%20OR%20wikivoyage</x:v>
      </x:c>
      <x:c r="N400" s="16" t="str">
        <x:v>https://www.google.com/maps/search/?api=1&amp;query=Great%20Lakes%20Aquarium%2C%20Duluth%2C%20Minnesota</x:v>
      </x:c>
      <x:c r="O400" s="17" t="b">
        <x:v>1</x:v>
      </x:c>
      <x:c r="P400" s="16" t="b">
        <x:f>IFERROR(VLOOKUP(A400,States!$A$2:$B$18,2,FALSE),FALSE)</x:f>
        <x:v>1</x:v>
      </x:c>
      <x:c r="Q400" s="16" t="b">
        <x:f>AND(OR(O400=TRUE,O400="TRUE"),OR(P400=TRUE,P400="TRUE"))</x:f>
        <x:v>1</x:v>
      </x:c>
    </x:row>
    <x:row r="401">
      <x:c r="A401" s="16" t="str">
        <x:v>Minnesota</x:v>
      </x:c>
      <x:c r="B401" s="16" t="str">
        <x:v>Owatonna</x:v>
      </x:c>
      <x:c r="C401" s="16" t="n">
        <x:v>-93.226</x:v>
      </x:c>
      <x:c r="D401" s="16" t="n">
        <x:v>44.084</x:v>
      </x:c>
      <x:c r="E401" s="16" t="str">
        <x:v>National Farmers' Bank</x:v>
      </x:c>
      <x:c r="F401" s="16" t="str">
        <x:v>Architecture fans, road trippers</x:v>
      </x:c>
      <x:c r="G401" s="16" t="str">
        <x:v>A Louis Sullivan bank interior offers a jewel-box architecture stop.</x:v>
      </x:c>
      <x:c r="H401" s="16" t="str">
        <x:v>Architecture</x:v>
      </x:c>
      <x:c r="I401" s="16" t="str">
        <x:v>https://www.google.com/search?q=National%20Farmers'%20Bank%20Owatonna%20Minnesota%20official%20website</x:v>
      </x:c>
      <x:c r="J401" s="16" t="str">
        <x:v>https://www.google.com/search?q=site%3Aexploreminnesota.com%20National%20Farmers'%20Bank</x:v>
      </x:c>
      <x:c r="K401" s="16" t="str">
        <x:v>https://www.google.com/search?q=National%20Farmers'%20Bank%20Owatonna%20Minnesota%20visitor%20information</x:v>
      </x:c>
      <x:c r="L401" s="16" t="str">
        <x:v>https://www.google.com/search?q=National%20Farmers'%20Bank%20Owatonna%20Minnesota%20photos</x:v>
      </x:c>
      <x:c r="M401" s="16" t="str">
        <x:v>https://www.google.com/search?q=National%20Farmers'%20Bank%20Owatonna%20Minnesota%20wikipedia%20OR%20wikivoyage</x:v>
      </x:c>
      <x:c r="N401" s="16" t="str">
        <x:v>https://www.google.com/maps/search/?api=1&amp;query=National%20Farmers'%20Bank%2C%20Owatonna%2C%20Minnesota</x:v>
      </x:c>
      <x:c r="O401" s="17" t="b">
        <x:v>1</x:v>
      </x:c>
      <x:c r="P401" s="16" t="b">
        <x:f>IFERROR(VLOOKUP(A401,States!$A$2:$B$18,2,FALSE),FALSE)</x:f>
        <x:v>1</x:v>
      </x:c>
      <x:c r="Q401" s="16" t="b">
        <x:f>AND(OR(O401=TRUE,O401="TRUE"),OR(P401=TRUE,P401="TRUE"))</x:f>
        <x:v>1</x:v>
      </x:c>
    </x:row>
    <x:row r="402">
      <x:c r="A402" s="16" t="str">
        <x:v>Iowa</x:v>
      </x:c>
      <x:c r="B402" s="16" t="str">
        <x:v>Sioux City</x:v>
      </x:c>
      <x:c r="C402" s="16" t="n">
        <x:v>-96.409</x:v>
      </x:c>
      <x:c r="D402" s="16" t="n">
        <x:v>42.496</x:v>
      </x:c>
      <x:c r="E402" s="16" t="str">
        <x:v>Sioux City Lewis and Clark Interpretive Center</x:v>
      </x:c>
      <x:c r="F402" s="16" t="str">
        <x:v>History travelers, families</x:v>
      </x:c>
      <x:c r="G402" s="16" t="str">
        <x:v>River expedition history fits a western Iowa route.</x:v>
      </x:c>
      <x:c r="H402" s="16" t="str">
        <x:v>Museum</x:v>
      </x:c>
      <x:c r="I402" s="16" t="str">
        <x:v>https://www.google.com/search?q=Sioux%20City%20Lewis%20and%20Clark%20Interpretive%20Center%20Sioux%20City%20Iowa%20official%20website</x:v>
      </x:c>
      <x:c r="J402" s="16" t="str">
        <x:v>https://www.google.com/search?q=site%3Atraveliowa.com%20Sioux%20City%20Lewis%20and%20Clark%20Interpretive%20Center</x:v>
      </x:c>
      <x:c r="K402" s="16" t="str">
        <x:v>https://www.google.com/search?q=Sioux%20City%20Lewis%20and%20Clark%20Interpretive%20Center%20Sioux%20City%20Iowa%20visitor%20information</x:v>
      </x:c>
      <x:c r="L402" s="16" t="str">
        <x:v>https://www.google.com/search?q=Sioux%20City%20Lewis%20and%20Clark%20Interpretive%20Center%20Sioux%20City%20Iowa%20photos</x:v>
      </x:c>
      <x:c r="M402" s="16" t="str">
        <x:v>https://www.google.com/search?q=Sioux%20City%20Lewis%20and%20Clark%20Interpretive%20Center%20Sioux%20City%20Iowa%20wikipedia%20OR%20wikivoyage</x:v>
      </x:c>
      <x:c r="N402" s="16" t="str">
        <x:v>https://www.google.com/maps/search/?api=1&amp;query=Sioux%20City%20Lewis%20and%20Clark%20Interpretive%20Center%2C%20Sioux%20City%2C%20Iowa</x:v>
      </x:c>
      <x:c r="O402" s="17" t="b">
        <x:v>1</x:v>
      </x:c>
      <x:c r="P402" s="16" t="b">
        <x:f>IFERROR(VLOOKUP(A402,States!$A$2:$B$18,2,FALSE),FALSE)</x:f>
        <x:v>1</x:v>
      </x:c>
      <x:c r="Q402" s="16" t="b">
        <x:f>AND(OR(O402=TRUE,O402="TRUE"),OR(P402=TRUE,P402="TRUE"))</x:f>
        <x:v>1</x:v>
      </x:c>
    </x:row>
    <x:row r="403">
      <x:c r="A403" s="16" t="str">
        <x:v>Iowa</x:v>
      </x:c>
      <x:c r="B403" s="16" t="str">
        <x:v>Okoboji</x:v>
      </x:c>
      <x:c r="C403" s="16" t="n">
        <x:v>-95.13</x:v>
      </x:c>
      <x:c r="D403" s="16" t="n">
        <x:v>43.386</x:v>
      </x:c>
      <x:c r="E403" s="16" t="str">
        <x:v>Iowa Great Lakes Maritime Museum</x:v>
      </x:c>
      <x:c r="F403" s="16" t="str">
        <x:v>Lake travelers, families</x:v>
      </x:c>
      <x:c r="G403" s="16" t="str">
        <x:v>Boating and resort history add context to the Okoboji area.</x:v>
      </x:c>
      <x:c r="H403" s="16" t="str">
        <x:v>Museum</x:v>
      </x:c>
      <x:c r="I403" s="16" t="str">
        <x:v>https://www.google.com/search?q=Iowa%20Great%20Lakes%20Maritime%20Museum%20Okoboji%20Iowa%20official%20website</x:v>
      </x:c>
      <x:c r="J403" s="16" t="str">
        <x:v>https://www.google.com/search?q=site%3Atraveliowa.com%20Iowa%20Great%20Lakes%20Maritime%20Museum</x:v>
      </x:c>
      <x:c r="K403" s="16" t="str">
        <x:v>https://www.google.com/search?q=Iowa%20Great%20Lakes%20Maritime%20Museum%20Okoboji%20Iowa%20visitor%20information</x:v>
      </x:c>
      <x:c r="L403" s="16" t="str">
        <x:v>https://www.google.com/search?q=Iowa%20Great%20Lakes%20Maritime%20Museum%20Okoboji%20Iowa%20photos</x:v>
      </x:c>
      <x:c r="M403" s="16" t="str">
        <x:v>https://www.google.com/search?q=Iowa%20Great%20Lakes%20Maritime%20Museum%20Okoboji%20Iowa%20wikipedia%20OR%20wikivoyage</x:v>
      </x:c>
      <x:c r="N403" s="16" t="str">
        <x:v>https://www.google.com/maps/search/?api=1&amp;query=Iowa%20Great%20Lakes%20Maritime%20Museum%2C%20Okoboji%2C%20Iowa</x:v>
      </x:c>
      <x:c r="O403" s="17" t="b">
        <x:v>1</x:v>
      </x:c>
      <x:c r="P403" s="16" t="b">
        <x:f>IFERROR(VLOOKUP(A403,States!$A$2:$B$18,2,FALSE),FALSE)</x:f>
        <x:v>1</x:v>
      </x:c>
      <x:c r="Q403" s="16" t="b">
        <x:f>AND(OR(O403=TRUE,O403="TRUE"),OR(P403=TRUE,P403="TRUE"))</x:f>
        <x:v>1</x:v>
      </x:c>
    </x:row>
    <x:row r="404">
      <x:c r="A404" s="16" t="str">
        <x:v>Iowa</x:v>
      </x:c>
      <x:c r="B404" s="16" t="str">
        <x:v>Iowa City</x:v>
      </x:c>
      <x:c r="C404" s="16" t="n">
        <x:v>-91.535</x:v>
      </x:c>
      <x:c r="D404" s="16" t="n">
        <x:v>41.661</x:v>
      </x:c>
      <x:c r="E404" s="16" t="str">
        <x:v>Old Capitol Museum</x:v>
      </x:c>
      <x:c r="F404" s="16" t="str">
        <x:v>History travelers, college-town explorers</x:v>
      </x:c>
      <x:c r="G404" s="16" t="str">
        <x:v>The first state capitol anchors the University of Iowa campus.</x:v>
      </x:c>
      <x:c r="H404" s="16" t="str">
        <x:v>Museum</x:v>
      </x:c>
      <x:c r="I404" s="16" t="str">
        <x:v>https://www.google.com/search?q=Old%20Capitol%20Museum%20Iowa%20City%20Iowa%20official%20website</x:v>
      </x:c>
      <x:c r="J404" s="16" t="str">
        <x:v>https://www.google.com/search?q=site%3Atraveliowa.com%20Old%20Capitol%20Museum</x:v>
      </x:c>
      <x:c r="K404" s="16" t="str">
        <x:v>https://www.google.com/search?q=Old%20Capitol%20Museum%20Iowa%20City%20Iowa%20visitor%20information</x:v>
      </x:c>
      <x:c r="L404" s="16" t="str">
        <x:v>https://www.google.com/search?q=Old%20Capitol%20Museum%20Iowa%20City%20Iowa%20photos</x:v>
      </x:c>
      <x:c r="M404" s="16" t="str">
        <x:v>https://www.google.com/search?q=Old%20Capitol%20Museum%20Iowa%20City%20Iowa%20wikipedia%20OR%20wikivoyage</x:v>
      </x:c>
      <x:c r="N404" s="16" t="str">
        <x:v>https://www.google.com/maps/search/?api=1&amp;query=Old%20Capitol%20Museum%2C%20Iowa%20City%2C%20Iowa</x:v>
      </x:c>
      <x:c r="O404" s="17" t="b">
        <x:v>1</x:v>
      </x:c>
      <x:c r="P404" s="16" t="b">
        <x:f>IFERROR(VLOOKUP(A404,States!$A$2:$B$18,2,FALSE),FALSE)</x:f>
        <x:v>1</x:v>
      </x:c>
      <x:c r="Q404" s="16" t="b">
        <x:f>AND(OR(O404=TRUE,O404="TRUE"),OR(P404=TRUE,P404="TRUE"))</x:f>
        <x:v>1</x:v>
      </x:c>
    </x:row>
    <x:row r="405">
      <x:c r="A405" s="16" t="str">
        <x:v>Iowa</x:v>
      </x:c>
      <x:c r="B405" s="16" t="str">
        <x:v>Cedar Rapids</x:v>
      </x:c>
      <x:c r="C405" s="16" t="n">
        <x:v>-91.665</x:v>
      </x:c>
      <x:c r="D405" s="16" t="n">
        <x:v>41.977</x:v>
      </x:c>
      <x:c r="E405" s="16" t="str">
        <x:v>Cedar Rapids Museum of Art</x:v>
      </x:c>
      <x:c r="F405" s="16" t="str">
        <x:v>Art lovers, families</x:v>
      </x:c>
      <x:c r="G405" s="16" t="str">
        <x:v>Regional collections include a strong Grant Wood connection.</x:v>
      </x:c>
      <x:c r="H405" s="16" t="str">
        <x:v>Museum</x:v>
      </x:c>
      <x:c r="I405" s="16" t="str">
        <x:v>https://www.google.com/search?q=Cedar%20Rapids%20Museum%20of%20Art%20Cedar%20Rapids%20Iowa%20official%20website</x:v>
      </x:c>
      <x:c r="J405" s="16" t="str">
        <x:v>https://www.google.com/search?q=site%3Atraveliowa.com%20Cedar%20Rapids%20Museum%20of%20Art</x:v>
      </x:c>
      <x:c r="K405" s="16" t="str">
        <x:v>https://www.google.com/search?q=Cedar%20Rapids%20Museum%20of%20Art%20Cedar%20Rapids%20Iowa%20visitor%20information</x:v>
      </x:c>
      <x:c r="L405" s="16" t="str">
        <x:v>https://www.google.com/search?q=Cedar%20Rapids%20Museum%20of%20Art%20Cedar%20Rapids%20Iowa%20photos</x:v>
      </x:c>
      <x:c r="M405" s="16" t="str">
        <x:v>https://www.google.com/search?q=Cedar%20Rapids%20Museum%20of%20Art%20Cedar%20Rapids%20Iowa%20wikipedia%20OR%20wikivoyage</x:v>
      </x:c>
      <x:c r="N405" s="16" t="str">
        <x:v>https://www.google.com/maps/search/?api=1&amp;query=Cedar%20Rapids%20Museum%20of%20Art%2C%20Cedar%20Rapids%2C%20Iowa</x:v>
      </x:c>
      <x:c r="O405" s="17" t="b">
        <x:v>1</x:v>
      </x:c>
      <x:c r="P405" s="16" t="b">
        <x:f>IFERROR(VLOOKUP(A405,States!$A$2:$B$18,2,FALSE),FALSE)</x:f>
        <x:v>1</x:v>
      </x:c>
      <x:c r="Q405" s="16" t="b">
        <x:f>AND(OR(O405=TRUE,O405="TRUE"),OR(P405=TRUE,P405="TRUE"))</x:f>
        <x:v>1</x:v>
      </x:c>
    </x:row>
    <x:row r="406">
      <x:c r="A406" s="16" t="str">
        <x:v>Iowa</x:v>
      </x:c>
      <x:c r="B406" s="16" t="str">
        <x:v>Eldon</x:v>
      </x:c>
      <x:c r="C406" s="16" t="n">
        <x:v>-92.216</x:v>
      </x:c>
      <x:c r="D406" s="16" t="n">
        <x:v>40.918</x:v>
      </x:c>
      <x:c r="E406" s="16" t="str">
        <x:v>American Gothic House Center</x:v>
      </x:c>
      <x:c r="F406" s="16" t="str">
        <x:v>Art lovers, roadside travelers</x:v>
      </x:c>
      <x:c r="G406" s="16" t="str">
        <x:v>The house behind Grant Wood's famous painting makes a memorable photo stop.</x:v>
      </x:c>
      <x:c r="H406" s="16" t="str">
        <x:v>Arts/Culture</x:v>
      </x:c>
      <x:c r="I406" s="16" t="str">
        <x:v>https://www.google.com/search?q=American%20Gothic%20House%20Center%20Eldon%20Iowa%20official%20website</x:v>
      </x:c>
      <x:c r="J406" s="16" t="str">
        <x:v>https://www.google.com/search?q=site%3Atraveliowa.com%20American%20Gothic%20House%20Center</x:v>
      </x:c>
      <x:c r="K406" s="16" t="str">
        <x:v>https://www.google.com/search?q=American%20Gothic%20House%20Center%20Eldon%20Iowa%20visitor%20information</x:v>
      </x:c>
      <x:c r="L406" s="16" t="str">
        <x:v>https://www.google.com/search?q=American%20Gothic%20House%20Center%20Eldon%20Iowa%20photos</x:v>
      </x:c>
      <x:c r="M406" s="16" t="str">
        <x:v>https://www.google.com/search?q=American%20Gothic%20House%20Center%20Eldon%20Iowa%20wikipedia%20OR%20wikivoyage</x:v>
      </x:c>
      <x:c r="N406" s="16" t="str">
        <x:v>https://www.google.com/maps/search/?api=1&amp;query=American%20Gothic%20House%20Center%2C%20Eldon%2C%20Iowa</x:v>
      </x:c>
      <x:c r="O406" s="17" t="b">
        <x:v>1</x:v>
      </x:c>
      <x:c r="P406" s="16" t="b">
        <x:f>IFERROR(VLOOKUP(A406,States!$A$2:$B$18,2,FALSE),FALSE)</x:f>
        <x:v>1</x:v>
      </x:c>
      <x:c r="Q406" s="16" t="b">
        <x:f>AND(OR(O406=TRUE,O406="TRUE"),OR(P406=TRUE,P406="TRUE"))</x:f>
        <x:v>1</x:v>
      </x:c>
    </x:row>
    <x:row r="407">
      <x:c r="A407" s="16" t="str">
        <x:v>Iowa</x:v>
      </x:c>
      <x:c r="B407" s="16" t="str">
        <x:v>Pella</x:v>
      </x:c>
      <x:c r="C407" s="16" t="n">
        <x:v>-92.918</x:v>
      </x:c>
      <x:c r="D407" s="16" t="n">
        <x:v>41.409</x:v>
      </x:c>
      <x:c r="E407" s="16" t="str">
        <x:v>Pella Historical Village and Vermeer Windmill</x:v>
      </x:c>
      <x:c r="F407" s="16" t="str">
        <x:v>Families, culture travelers</x:v>
      </x:c>
      <x:c r="G407" s="16" t="str">
        <x:v>Dutch heritage, gardens, and a working windmill define the town.</x:v>
      </x:c>
      <x:c r="H407" s="16" t="str">
        <x:v>Cultural Site</x:v>
      </x:c>
      <x:c r="I407" s="16" t="str">
        <x:v>https://www.google.com/search?q=Pella%20Historical%20Village%20and%20Vermeer%20Windmill%20Pella%20Iowa%20official%20website</x:v>
      </x:c>
      <x:c r="J407" s="16" t="str">
        <x:v>https://www.google.com/search?q=site%3Atraveliowa.com%20Pella%20Historical%20Village%20and%20Vermeer%20Windmill</x:v>
      </x:c>
      <x:c r="K407" s="16" t="str">
        <x:v>https://www.google.com/search?q=Pella%20Historical%20Village%20and%20Vermeer%20Windmill%20Pella%20Iowa%20visitor%20information</x:v>
      </x:c>
      <x:c r="L407" s="16" t="str">
        <x:v>https://www.google.com/search?q=Pella%20Historical%20Village%20and%20Vermeer%20Windmill%20Pella%20Iowa%20photos</x:v>
      </x:c>
      <x:c r="M407" s="16" t="str">
        <x:v>https://www.google.com/search?q=Pella%20Historical%20Village%20and%20Vermeer%20Windmill%20Pella%20Iowa%20wikipedia%20OR%20wikivoyage</x:v>
      </x:c>
      <x:c r="N407" s="16" t="str">
        <x:v>https://www.google.com/maps/search/?api=1&amp;query=Pella%20Historical%20Village%20and%20Vermeer%20Windmill%2C%20Pella%2C%20Iowa</x:v>
      </x:c>
      <x:c r="O407" s="17" t="b">
        <x:v>1</x:v>
      </x:c>
      <x:c r="P407" s="16" t="b">
        <x:f>IFERROR(VLOOKUP(A407,States!$A$2:$B$18,2,FALSE),FALSE)</x:f>
        <x:v>1</x:v>
      </x:c>
      <x:c r="Q407" s="16" t="b">
        <x:f>AND(OR(O407=TRUE,O407="TRUE"),OR(P407=TRUE,P407="TRUE"))</x:f>
        <x:v>1</x:v>
      </x:c>
    </x:row>
    <x:row r="408">
      <x:c r="A408" s="16" t="str">
        <x:v>Iowa</x:v>
      </x:c>
      <x:c r="B408" s="16" t="str">
        <x:v>Waterloo</x:v>
      </x:c>
      <x:c r="C408" s="16" t="n">
        <x:v>-92.343</x:v>
      </x:c>
      <x:c r="D408" s="16" t="n">
        <x:v>42.497</x:v>
      </x:c>
      <x:c r="E408" s="16" t="str">
        <x:v>John Deere Tractor and Engine Museum</x:v>
      </x:c>
      <x:c r="F408" s="16" t="str">
        <x:v>Families, machinery fans</x:v>
      </x:c>
      <x:c r="G408" s="16" t="str">
        <x:v>Agricultural engineering history connects strongly to Iowa's landscape.</x:v>
      </x:c>
      <x:c r="H408" s="16" t="str">
        <x:v>Museum</x:v>
      </x:c>
      <x:c r="I408" s="16" t="str">
        <x:v>https://www.google.com/search?q=John%20Deere%20Tractor%20and%20Engine%20Museum%20Waterloo%20Iowa%20official%20website</x:v>
      </x:c>
      <x:c r="J408" s="16" t="str">
        <x:v>https://www.google.com/search?q=site%3Atraveliowa.com%20John%20Deere%20Tractor%20and%20Engine%20Museum</x:v>
      </x:c>
      <x:c r="K408" s="16" t="str">
        <x:v>https://www.google.com/search?q=John%20Deere%20Tractor%20and%20Engine%20Museum%20Waterloo%20Iowa%20visitor%20information</x:v>
      </x:c>
      <x:c r="L408" s="16" t="str">
        <x:v>https://www.google.com/search?q=John%20Deere%20Tractor%20and%20Engine%20Museum%20Waterloo%20Iowa%20photos</x:v>
      </x:c>
      <x:c r="M408" s="16" t="str">
        <x:v>https://www.google.com/search?q=John%20Deere%20Tractor%20and%20Engine%20Museum%20Waterloo%20Iowa%20wikipedia%20OR%20wikivoyage</x:v>
      </x:c>
      <x:c r="N408" s="16" t="str">
        <x:v>https://www.google.com/maps/search/?api=1&amp;query=John%20Deere%20Tractor%20and%20Engine%20Museum%2C%20Waterloo%2C%20Iowa</x:v>
      </x:c>
      <x:c r="O408" s="17" t="b">
        <x:v>1</x:v>
      </x:c>
      <x:c r="P408" s="16" t="b">
        <x:f>IFERROR(VLOOKUP(A408,States!$A$2:$B$18,2,FALSE),FALSE)</x:f>
        <x:v>1</x:v>
      </x:c>
      <x:c r="Q408" s="16" t="b">
        <x:f>AND(OR(O408=TRUE,O408="TRUE"),OR(P408=TRUE,P408="TRUE"))</x:f>
        <x:v>1</x:v>
      </x:c>
    </x:row>
    <x:row r="409">
      <x:c r="A409" s="16" t="str">
        <x:v>Iowa</x:v>
      </x:c>
      <x:c r="B409" s="16" t="str">
        <x:v>Council Bluffs</x:v>
      </x:c>
      <x:c r="C409" s="16" t="n">
        <x:v>-95.846</x:v>
      </x:c>
      <x:c r="D409" s="16" t="n">
        <x:v>41.258</x:v>
      </x:c>
      <x:c r="E409" s="16" t="str">
        <x:v>Union Pacific Railroad Museum</x:v>
      </x:c>
      <x:c r="F409" s="16" t="str">
        <x:v>Train fans, history travelers</x:v>
      </x:c>
      <x:c r="G409" s="16" t="str">
        <x:v>Railroad expansion stories fit the Missouri River gateway.</x:v>
      </x:c>
      <x:c r="H409" s="16" t="str">
        <x:v>Museum</x:v>
      </x:c>
      <x:c r="I409" s="16" t="str">
        <x:v>https://www.google.com/search?q=Union%20Pacific%20Railroad%20Museum%20Council%20Bluffs%20Iowa%20official%20website</x:v>
      </x:c>
      <x:c r="J409" s="16" t="str">
        <x:v>https://www.google.com/search?q=site%3Atraveliowa.com%20Union%20Pacific%20Railroad%20Museum</x:v>
      </x:c>
      <x:c r="K409" s="16" t="str">
        <x:v>https://www.google.com/search?q=Union%20Pacific%20Railroad%20Museum%20Council%20Bluffs%20Iowa%20visitor%20information</x:v>
      </x:c>
      <x:c r="L409" s="16" t="str">
        <x:v>https://www.google.com/search?q=Union%20Pacific%20Railroad%20Museum%20Council%20Bluffs%20Iowa%20photos</x:v>
      </x:c>
      <x:c r="M409" s="16" t="str">
        <x:v>https://www.google.com/search?q=Union%20Pacific%20Railroad%20Museum%20Council%20Bluffs%20Iowa%20wikipedia%20OR%20wikivoyage</x:v>
      </x:c>
      <x:c r="N409" s="16" t="str">
        <x:v>https://www.google.com/maps/search/?api=1&amp;query=Union%20Pacific%20Railroad%20Museum%2C%20Council%20Bluffs%2C%20Iowa</x:v>
      </x:c>
      <x:c r="O409" s="17" t="b">
        <x:v>1</x:v>
      </x:c>
      <x:c r="P409" s="16" t="b">
        <x:f>IFERROR(VLOOKUP(A409,States!$A$2:$B$18,2,FALSE),FALSE)</x:f>
        <x:v>1</x:v>
      </x:c>
      <x:c r="Q409" s="16" t="b">
        <x:f>AND(OR(O409=TRUE,O409="TRUE"),OR(P409=TRUE,P409="TRUE"))</x:f>
        <x:v>1</x:v>
      </x:c>
    </x:row>
    <x:row r="410">
      <x:c r="A410" s="16" t="str">
        <x:v>Iowa</x:v>
      </x:c>
      <x:c r="B410" s="16" t="str">
        <x:v>Des Moines</x:v>
      </x:c>
      <x:c r="C410" s="16" t="n">
        <x:v>-93.609</x:v>
      </x:c>
      <x:c r="D410" s="16" t="n">
        <x:v>41.586</x:v>
      </x:c>
      <x:c r="E410" s="16" t="str">
        <x:v>Pappajohn Sculpture Park</x:v>
      </x:c>
      <x:c r="F410" s="16" t="str">
        <x:v>Art lovers, walkers</x:v>
      </x:c>
      <x:c r="G410" s="16" t="str">
        <x:v>Large outdoor sculptures make a free downtown Des Moines stop.</x:v>
      </x:c>
      <x:c r="H410" s="16" t="str">
        <x:v>Arts/Culture</x:v>
      </x:c>
      <x:c r="I410" s="16" t="str">
        <x:v>https://www.google.com/search?q=Pappajohn%20Sculpture%20Park%20Des%20Moines%20Iowa%20official%20website</x:v>
      </x:c>
      <x:c r="J410" s="16" t="str">
        <x:v>https://www.google.com/search?q=site%3Atraveliowa.com%20Pappajohn%20Sculpture%20Park</x:v>
      </x:c>
      <x:c r="K410" s="16" t="str">
        <x:v>https://www.google.com/search?q=Pappajohn%20Sculpture%20Park%20Des%20Moines%20Iowa%20visitor%20information</x:v>
      </x:c>
      <x:c r="L410" s="16" t="str">
        <x:v>https://www.google.com/search?q=Pappajohn%20Sculpture%20Park%20Des%20Moines%20Iowa%20photos</x:v>
      </x:c>
      <x:c r="M410" s="16" t="str">
        <x:v>https://www.google.com/search?q=Pappajohn%20Sculpture%20Park%20Des%20Moines%20Iowa%20wikipedia%20OR%20wikivoyage</x:v>
      </x:c>
      <x:c r="N410" s="16" t="str">
        <x:v>https://www.google.com/maps/search/?api=1&amp;query=Pappajohn%20Sculpture%20Park%2C%20Des%20Moines%2C%20Iowa</x:v>
      </x:c>
      <x:c r="O410" s="17" t="b">
        <x:v>1</x:v>
      </x:c>
      <x:c r="P410" s="16" t="b">
        <x:f>IFERROR(VLOOKUP(A410,States!$A$2:$B$18,2,FALSE),FALSE)</x:f>
        <x:v>1</x:v>
      </x:c>
      <x:c r="Q410" s="16" t="b">
        <x:f>AND(OR(O410=TRUE,O410="TRUE"),OR(P410=TRUE,P410="TRUE"))</x:f>
        <x:v>1</x:v>
      </x:c>
    </x:row>
    <x:row r="411">
      <x:c r="A411" s="16" t="str">
        <x:v>Iowa</x:v>
      </x:c>
      <x:c r="B411" s="16" t="str">
        <x:v>Davenport</x:v>
      </x:c>
      <x:c r="C411" s="16" t="n">
        <x:v>-90.574</x:v>
      </x:c>
      <x:c r="D411" s="16" t="n">
        <x:v>41.52</x:v>
      </x:c>
      <x:c r="E411" s="16" t="str">
        <x:v>Figge Art Museum</x:v>
      </x:c>
      <x:c r="F411" s="16" t="str">
        <x:v>Art lovers, river-city travelers</x:v>
      </x:c>
      <x:c r="G411" s="16" t="str">
        <x:v>A riverfront museum adds visual culture to the Quad Cities.</x:v>
      </x:c>
      <x:c r="H411" s="16" t="str">
        <x:v>Museum</x:v>
      </x:c>
      <x:c r="I411" s="16" t="str">
        <x:v>https://www.google.com/search?q=Figge%20Art%20Museum%20Davenport%20Iowa%20official%20website</x:v>
      </x:c>
      <x:c r="J411" s="16" t="str">
        <x:v>https://www.google.com/search?q=site%3Atraveliowa.com%20Figge%20Art%20Museum</x:v>
      </x:c>
      <x:c r="K411" s="16" t="str">
        <x:v>https://www.google.com/search?q=Figge%20Art%20Museum%20Davenport%20Iowa%20visitor%20information</x:v>
      </x:c>
      <x:c r="L411" s="16" t="str">
        <x:v>https://www.google.com/search?q=Figge%20Art%20Museum%20Davenport%20Iowa%20photos</x:v>
      </x:c>
      <x:c r="M411" s="16" t="str">
        <x:v>https://www.google.com/search?q=Figge%20Art%20Museum%20Davenport%20Iowa%20wikipedia%20OR%20wikivoyage</x:v>
      </x:c>
      <x:c r="N411" s="16" t="str">
        <x:v>https://www.google.com/maps/search/?api=1&amp;query=Figge%20Art%20Museum%2C%20Davenport%2C%20Iowa</x:v>
      </x:c>
      <x:c r="O411" s="17" t="b">
        <x:v>1</x:v>
      </x:c>
      <x:c r="P411" s="16" t="b">
        <x:f>IFERROR(VLOOKUP(A411,States!$A$2:$B$18,2,FALSE),FALSE)</x:f>
        <x:v>1</x:v>
      </x:c>
      <x:c r="Q411" s="16" t="b">
        <x:f>AND(OR(O411=TRUE,O411="TRUE"),OR(P411=TRUE,P411="TRUE"))</x:f>
        <x:v>1</x:v>
      </x:c>
    </x:row>
    <x:row r="412">
      <x:c r="A412" s="16" t="str">
        <x:v>North Dakota</x:v>
      </x:c>
      <x:c r="B412" s="16" t="str">
        <x:v>Jamestown</x:v>
      </x:c>
      <x:c r="C412" s="16" t="n">
        <x:v>-98.708</x:v>
      </x:c>
      <x:c r="D412" s="16" t="n">
        <x:v>46.91</x:v>
      </x:c>
      <x:c r="E412" s="16" t="str">
        <x:v>Frontier Village and World's Largest Buffalo</x:v>
      </x:c>
      <x:c r="F412" s="16" t="str">
        <x:v>Families, roadside fans</x:v>
      </x:c>
      <x:c r="G412" s="16" t="str">
        <x:v>Western-themed buildings and a giant bison sculpture break up I-94.</x:v>
      </x:c>
      <x:c r="H412" s="16" t="str">
        <x:v>Roadside</x:v>
      </x:c>
      <x:c r="I412" s="16" t="str">
        <x:v>https://www.google.com/search?q=Frontier%20Village%20and%20World's%20Largest%20Buffalo%20Jamestown%20North%20Dakota%20official%20website</x:v>
      </x:c>
      <x:c r="J412" s="16" t="str">
        <x:v>https://www.google.com/search?q=site%3Andtourism.com%20Frontier%20Village%20and%20World's%20Largest%20Buffalo</x:v>
      </x:c>
      <x:c r="K412" s="16" t="str">
        <x:v>https://www.google.com/search?q=Frontier%20Village%20and%20World's%20Largest%20Buffalo%20Jamestown%20North%20Dakota%20visitor%20information</x:v>
      </x:c>
      <x:c r="L412" s="16" t="str">
        <x:v>https://www.google.com/search?q=Frontier%20Village%20and%20World's%20Largest%20Buffalo%20Jamestown%20North%20Dakota%20photos</x:v>
      </x:c>
      <x:c r="M412" s="16" t="str">
        <x:v>https://www.google.com/search?q=Frontier%20Village%20and%20World's%20Largest%20Buffalo%20Jamestown%20North%20Dakota%20wikipedia%20OR%20wikivoyage</x:v>
      </x:c>
      <x:c r="N412" s="16" t="str">
        <x:v>https://www.google.com/maps/search/?api=1&amp;query=Frontier%20Village%20and%20World's%20Largest%20Buffalo%2C%20Jamestown%2C%20North%20Dakota</x:v>
      </x:c>
      <x:c r="O412" s="17" t="b">
        <x:v>1</x:v>
      </x:c>
      <x:c r="P412" s="16" t="b">
        <x:f>IFERROR(VLOOKUP(A412,States!$A$2:$B$18,2,FALSE),FALSE)</x:f>
        <x:v>1</x:v>
      </x:c>
      <x:c r="Q412" s="16" t="b">
        <x:f>AND(OR(O412=TRUE,O412="TRUE"),OR(P412=TRUE,P412="TRUE"))</x:f>
        <x:v>1</x:v>
      </x:c>
    </x:row>
    <x:row r="413">
      <x:c r="A413" s="16" t="str">
        <x:v>North Dakota</x:v>
      </x:c>
      <x:c r="B413" s="16" t="str">
        <x:v>Jamestown</x:v>
      </x:c>
      <x:c r="C413" s="16" t="n">
        <x:v>-98.706</x:v>
      </x:c>
      <x:c r="D413" s="16" t="n">
        <x:v>46.906</x:v>
      </x:c>
      <x:c r="E413" s="16" t="str">
        <x:v>National Buffalo Museum</x:v>
      </x:c>
      <x:c r="F413" s="16" t="str">
        <x:v>Wildlife fans, families</x:v>
      </x:c>
      <x:c r="G413" s="16" t="str">
        <x:v>Bison history and conservation exhibits complement the roadside landmark.</x:v>
      </x:c>
      <x:c r="H413" s="16" t="str">
        <x:v>Museum</x:v>
      </x:c>
      <x:c r="I413" s="16" t="str">
        <x:v>https://www.google.com/search?q=National%20Buffalo%20Museum%20Jamestown%20North%20Dakota%20official%20website</x:v>
      </x:c>
      <x:c r="J413" s="16" t="str">
        <x:v>https://www.google.com/search?q=site%3Andtourism.com%20National%20Buffalo%20Museum</x:v>
      </x:c>
      <x:c r="K413" s="16" t="str">
        <x:v>https://www.google.com/search?q=National%20Buffalo%20Museum%20Jamestown%20North%20Dakota%20visitor%20information</x:v>
      </x:c>
      <x:c r="L413" s="16" t="str">
        <x:v>https://www.google.com/search?q=National%20Buffalo%20Museum%20Jamestown%20North%20Dakota%20photos</x:v>
      </x:c>
      <x:c r="M413" s="16" t="str">
        <x:v>https://www.google.com/search?q=National%20Buffalo%20Museum%20Jamestown%20North%20Dakota%20wikipedia%20OR%20wikivoyage</x:v>
      </x:c>
      <x:c r="N413" s="16" t="str">
        <x:v>https://www.google.com/maps/search/?api=1&amp;query=National%20Buffalo%20Museum%2C%20Jamestown%2C%20North%20Dakota</x:v>
      </x:c>
      <x:c r="O413" s="17" t="b">
        <x:v>1</x:v>
      </x:c>
      <x:c r="P413" s="16" t="b">
        <x:f>IFERROR(VLOOKUP(A413,States!$A$2:$B$18,2,FALSE),FALSE)</x:f>
        <x:v>1</x:v>
      </x:c>
      <x:c r="Q413" s="16" t="b">
        <x:f>AND(OR(O413=TRUE,O413="TRUE"),OR(P413=TRUE,P413="TRUE"))</x:f>
        <x:v>1</x:v>
      </x:c>
    </x:row>
    <x:row r="414">
      <x:c r="A414" s="16" t="str">
        <x:v>North Dakota</x:v>
      </x:c>
      <x:c r="B414" s="16" t="str">
        <x:v>Grand Forks</x:v>
      </x:c>
      <x:c r="C414" s="16" t="n">
        <x:v>-97.036</x:v>
      </x:c>
      <x:c r="D414" s="16" t="n">
        <x:v>47.922</x:v>
      </x:c>
      <x:c r="E414" s="16" t="str">
        <x:v>North Dakota Museum of Art</x:v>
      </x:c>
      <x:c r="F414" s="16" t="str">
        <x:v>Art lovers, college-town travelers</x:v>
      </x:c>
      <x:c r="G414" s="16" t="str">
        <x:v>Contemporary art and regional programming add a cultural stop.</x:v>
      </x:c>
      <x:c r="H414" s="16" t="str">
        <x:v>Museum</x:v>
      </x:c>
      <x:c r="I414" s="16" t="str">
        <x:v>https://www.google.com/search?q=North%20Dakota%20Museum%20of%20Art%20Grand%20Forks%20North%20Dakota%20official%20website</x:v>
      </x:c>
      <x:c r="J414" s="16" t="str">
        <x:v>https://www.google.com/search?q=site%3Andtourism.com%20North%20Dakota%20Museum%20of%20Art</x:v>
      </x:c>
      <x:c r="K414" s="16" t="str">
        <x:v>https://www.google.com/search?q=North%20Dakota%20Museum%20of%20Art%20Grand%20Forks%20North%20Dakota%20visitor%20information</x:v>
      </x:c>
      <x:c r="L414" s="16" t="str">
        <x:v>https://www.google.com/search?q=North%20Dakota%20Museum%20of%20Art%20Grand%20Forks%20North%20Dakota%20photos</x:v>
      </x:c>
      <x:c r="M414" s="16" t="str">
        <x:v>https://www.google.com/search?q=North%20Dakota%20Museum%20of%20Art%20Grand%20Forks%20North%20Dakota%20wikipedia%20OR%20wikivoyage</x:v>
      </x:c>
      <x:c r="N414" s="16" t="str">
        <x:v>https://www.google.com/maps/search/?api=1&amp;query=North%20Dakota%20Museum%20of%20Art%2C%20Grand%20Forks%2C%20North%20Dakota</x:v>
      </x:c>
      <x:c r="O414" s="17" t="b">
        <x:v>1</x:v>
      </x:c>
      <x:c r="P414" s="16" t="b">
        <x:f>IFERROR(VLOOKUP(A414,States!$A$2:$B$18,2,FALSE),FALSE)</x:f>
        <x:v>1</x:v>
      </x:c>
      <x:c r="Q414" s="16" t="b">
        <x:f>AND(OR(O414=TRUE,O414="TRUE"),OR(P414=TRUE,P414="TRUE"))</x:f>
        <x:v>1</x:v>
      </x:c>
    </x:row>
    <x:row r="415">
      <x:c r="A415" s="16" t="str">
        <x:v>North Dakota</x:v>
      </x:c>
      <x:c r="B415" s="16" t="str">
        <x:v>Grand Forks</x:v>
      </x:c>
      <x:c r="C415" s="16" t="n">
        <x:v>-97.07</x:v>
      </x:c>
      <x:c r="D415" s="16" t="n">
        <x:v>47.925</x:v>
      </x:c>
      <x:c r="E415" s="16" t="str">
        <x:v>Ralph Engelstad Arena</x:v>
      </x:c>
      <x:c r="F415" s="16" t="str">
        <x:v>Sports fans, architecture fans</x:v>
      </x:c>
      <x:c r="G415" s="16" t="str">
        <x:v>A major college hockey venue shows North Dakota sports culture.</x:v>
      </x:c>
      <x:c r="H415" s="16" t="str">
        <x:v>Sports</x:v>
      </x:c>
      <x:c r="I415" s="16" t="str">
        <x:v>https://www.google.com/search?q=Ralph%20Engelstad%20Arena%20Grand%20Forks%20North%20Dakota%20official%20website</x:v>
      </x:c>
      <x:c r="J415" s="16" t="str">
        <x:v>https://www.google.com/search?q=site%3Andtourism.com%20Ralph%20Engelstad%20Arena</x:v>
      </x:c>
      <x:c r="K415" s="16" t="str">
        <x:v>https://www.google.com/search?q=Ralph%20Engelstad%20Arena%20Grand%20Forks%20North%20Dakota%20visitor%20information</x:v>
      </x:c>
      <x:c r="L415" s="16" t="str">
        <x:v>https://www.google.com/search?q=Ralph%20Engelstad%20Arena%20Grand%20Forks%20North%20Dakota%20photos</x:v>
      </x:c>
      <x:c r="M415" s="16" t="str">
        <x:v>https://www.google.com/search?q=Ralph%20Engelstad%20Arena%20Grand%20Forks%20North%20Dakota%20wikipedia%20OR%20wikivoyage</x:v>
      </x:c>
      <x:c r="N415" s="16" t="str">
        <x:v>https://www.google.com/maps/search/?api=1&amp;query=Ralph%20Engelstad%20Arena%2C%20Grand%20Forks%2C%20North%20Dakota</x:v>
      </x:c>
      <x:c r="O415" s="17" t="b">
        <x:v>1</x:v>
      </x:c>
      <x:c r="P415" s="16" t="b">
        <x:f>IFERROR(VLOOKUP(A415,States!$A$2:$B$18,2,FALSE),FALSE)</x:f>
        <x:v>1</x:v>
      </x:c>
      <x:c r="Q415" s="16" t="b">
        <x:f>AND(OR(O415=TRUE,O415="TRUE"),OR(P415=TRUE,P415="TRUE"))</x:f>
        <x:v>1</x:v>
      </x:c>
    </x:row>
    <x:row r="416">
      <x:c r="A416" s="16" t="str">
        <x:v>North Dakota</x:v>
      </x:c>
      <x:c r="B416" s="16" t="str">
        <x:v>Bismarck</x:v>
      </x:c>
      <x:c r="C416" s="16" t="n">
        <x:v>-100.784</x:v>
      </x:c>
      <x:c r="D416" s="16" t="n">
        <x:v>46.807</x:v>
      </x:c>
      <x:c r="E416" s="16" t="str">
        <x:v>Dakota Zoo</x:v>
      </x:c>
      <x:c r="F416" s="16" t="str">
        <x:v>Families, animal lovers</x:v>
      </x:c>
      <x:c r="G416" s="16" t="str">
        <x:v>A manageable zoo on the Missouri River makes a family-friendly pause.</x:v>
      </x:c>
      <x:c r="H416" s="16" t="str">
        <x:v>Zoo/Aquarium</x:v>
      </x:c>
      <x:c r="I416" s="16" t="str">
        <x:v>https://www.google.com/search?q=Dakota%20Zoo%20Bismarck%20North%20Dakota%20official%20website</x:v>
      </x:c>
      <x:c r="J416" s="16" t="str">
        <x:v>https://www.google.com/search?q=site%3Andtourism.com%20Dakota%20Zoo</x:v>
      </x:c>
      <x:c r="K416" s="16" t="str">
        <x:v>https://www.google.com/search?q=Dakota%20Zoo%20Bismarck%20North%20Dakota%20visitor%20information</x:v>
      </x:c>
      <x:c r="L416" s="16" t="str">
        <x:v>https://www.google.com/search?q=Dakota%20Zoo%20Bismarck%20North%20Dakota%20photos</x:v>
      </x:c>
      <x:c r="M416" s="16" t="str">
        <x:v>https://www.google.com/search?q=Dakota%20Zoo%20Bismarck%20North%20Dakota%20wikipedia%20OR%20wikivoyage</x:v>
      </x:c>
      <x:c r="N416" s="16" t="str">
        <x:v>https://www.google.com/maps/search/?api=1&amp;query=Dakota%20Zoo%2C%20Bismarck%2C%20North%20Dakota</x:v>
      </x:c>
      <x:c r="O416" s="17" t="b">
        <x:v>1</x:v>
      </x:c>
      <x:c r="P416" s="16" t="b">
        <x:f>IFERROR(VLOOKUP(A416,States!$A$2:$B$18,2,FALSE),FALSE)</x:f>
        <x:v>1</x:v>
      </x:c>
      <x:c r="Q416" s="16" t="b">
        <x:f>AND(OR(O416=TRUE,O416="TRUE"),OR(P416=TRUE,P416="TRUE"))</x:f>
        <x:v>1</x:v>
      </x:c>
    </x:row>
    <x:row r="417">
      <x:c r="A417" s="16" t="str">
        <x:v>North Dakota</x:v>
      </x:c>
      <x:c r="B417" s="16" t="str">
        <x:v>Valley City</x:v>
      </x:c>
      <x:c r="C417" s="16" t="n">
        <x:v>-98.002</x:v>
      </x:c>
      <x:c r="D417" s="16" t="n">
        <x:v>46.923</x:v>
      </x:c>
      <x:c r="E417" s="16" t="str">
        <x:v>Sheyenne River Valley National Scenic Byway</x:v>
      </x:c>
      <x:c r="F417" s="16" t="str">
        <x:v>Scenic drivers, history travelers</x:v>
      </x:c>
      <x:c r="G417" s="16" t="str">
        <x:v>River hills, bridges, and prairie towns make a gentle scenic route.</x:v>
      </x:c>
      <x:c r="H417" s="16" t="str">
        <x:v>Scenic Drive</x:v>
      </x:c>
      <x:c r="I417" s="16" t="str">
        <x:v>https://www.google.com/search?q=Sheyenne%20River%20Valley%20National%20Scenic%20Byway%20Valley%20City%20North%20Dakota%20official%20website</x:v>
      </x:c>
      <x:c r="J417" s="16" t="str">
        <x:v>https://www.google.com/search?q=site%3Andtourism.com%20Sheyenne%20River%20Valley%20National%20Scenic%20Byway</x:v>
      </x:c>
      <x:c r="K417" s="16" t="str">
        <x:v>https://www.google.com/search?q=Sheyenne%20River%20Valley%20National%20Scenic%20Byway%20Valley%20City%20North%20Dakota%20visitor%20information</x:v>
      </x:c>
      <x:c r="L417" s="16" t="str">
        <x:v>https://www.google.com/search?q=Sheyenne%20River%20Valley%20National%20Scenic%20Byway%20Valley%20City%20North%20Dakota%20photos</x:v>
      </x:c>
      <x:c r="M417" s="16" t="str">
        <x:v>https://www.google.com/search?q=Sheyenne%20River%20Valley%20National%20Scenic%20Byway%20Valley%20City%20North%20Dakota%20wikipedia%20OR%20wikivoyage</x:v>
      </x:c>
      <x:c r="N417" s="16" t="str">
        <x:v>https://www.google.com/maps/search/?api=1&amp;query=Sheyenne%20River%20Valley%20National%20Scenic%20Byway%2C%20Valley%20City%2C%20North%20Dakota</x:v>
      </x:c>
      <x:c r="O417" s="17" t="b">
        <x:v>1</x:v>
      </x:c>
      <x:c r="P417" s="16" t="b">
        <x:f>IFERROR(VLOOKUP(A417,States!$A$2:$B$18,2,FALSE),FALSE)</x:f>
        <x:v>1</x:v>
      </x:c>
      <x:c r="Q417" s="16" t="b">
        <x:f>AND(OR(O417=TRUE,O417="TRUE"),OR(P417=TRUE,P417="TRUE"))</x:f>
        <x:v>1</x:v>
      </x:c>
    </x:row>
    <x:row r="418">
      <x:c r="A418" s="16" t="str">
        <x:v>North Dakota</x:v>
      </x:c>
      <x:c r="B418" s="16" t="str">
        <x:v>Devils Lake</x:v>
      </x:c>
      <x:c r="C418" s="16" t="n">
        <x:v>-98.91</x:v>
      </x:c>
      <x:c r="D418" s="16" t="n">
        <x:v>48.114</x:v>
      </x:c>
      <x:c r="E418" s="16" t="str">
        <x:v>Devils Lake</x:v>
      </x:c>
      <x:c r="F418" s="16" t="str">
        <x:v>Anglers, birders, families</x:v>
      </x:c>
      <x:c r="G418" s="16" t="str">
        <x:v>A large natural lake supports fishing, boating, and bird migration.</x:v>
      </x:c>
      <x:c r="H418" s="16" t="str">
        <x:v>Waterfront</x:v>
      </x:c>
      <x:c r="I418" s="16" t="str">
        <x:v>https://www.google.com/search?q=Devils%20Lake%20Devils%20Lake%20North%20Dakota%20official%20website</x:v>
      </x:c>
      <x:c r="J418" s="16" t="str">
        <x:v>https://www.google.com/search?q=site%3Andtourism.com%20Devils%20Lake</x:v>
      </x:c>
      <x:c r="K418" s="16" t="str">
        <x:v>https://www.google.com/search?q=Devils%20Lake%20Devils%20Lake%20North%20Dakota%20visitor%20information</x:v>
      </x:c>
      <x:c r="L418" s="16" t="str">
        <x:v>https://www.google.com/search?q=Devils%20Lake%20Devils%20Lake%20North%20Dakota%20photos</x:v>
      </x:c>
      <x:c r="M418" s="16" t="str">
        <x:v>https://www.google.com/search?q=Devils%20Lake%20Devils%20Lake%20North%20Dakota%20wikipedia%20OR%20wikivoyage</x:v>
      </x:c>
      <x:c r="N418" s="16" t="str">
        <x:v>https://www.google.com/maps/search/?api=1&amp;query=Devils%20Lake%2C%20Devils%20Lake%2C%20North%20Dakota</x:v>
      </x:c>
      <x:c r="O418" s="17" t="b">
        <x:v>1</x:v>
      </x:c>
      <x:c r="P418" s="16" t="b">
        <x:f>IFERROR(VLOOKUP(A418,States!$A$2:$B$18,2,FALSE),FALSE)</x:f>
        <x:v>1</x:v>
      </x:c>
      <x:c r="Q418" s="16" t="b">
        <x:f>AND(OR(O418=TRUE,O418="TRUE"),OR(P418=TRUE,P418="TRUE"))</x:f>
        <x:v>1</x:v>
      </x:c>
    </x:row>
    <x:row r="419">
      <x:c r="A419" s="16" t="str">
        <x:v>North Dakota</x:v>
      </x:c>
      <x:c r="B419" s="16" t="str">
        <x:v>Dickinson</x:v>
      </x:c>
      <x:c r="C419" s="16" t="n">
        <x:v>-102.789</x:v>
      </x:c>
      <x:c r="D419" s="16" t="n">
        <x:v>46.879</x:v>
      </x:c>
      <x:c r="E419" s="16" t="str">
        <x:v>Dickinson Museum Center</x:v>
      </x:c>
      <x:c r="F419" s="16" t="str">
        <x:v>Families, fossil fans</x:v>
      </x:c>
      <x:c r="G419" s="16" t="str">
        <x:v>Dinosaur exhibits and regional history make a practical western stop.</x:v>
      </x:c>
      <x:c r="H419" s="16" t="str">
        <x:v>Museum</x:v>
      </x:c>
      <x:c r="I419" s="16" t="str">
        <x:v>https://www.google.com/search?q=Dickinson%20Museum%20Center%20Dickinson%20North%20Dakota%20official%20website</x:v>
      </x:c>
      <x:c r="J419" s="16" t="str">
        <x:v>https://www.google.com/search?q=site%3Andtourism.com%20Dickinson%20Museum%20Center</x:v>
      </x:c>
      <x:c r="K419" s="16" t="str">
        <x:v>https://www.google.com/search?q=Dickinson%20Museum%20Center%20Dickinson%20North%20Dakota%20visitor%20information</x:v>
      </x:c>
      <x:c r="L419" s="16" t="str">
        <x:v>https://www.google.com/search?q=Dickinson%20Museum%20Center%20Dickinson%20North%20Dakota%20photos</x:v>
      </x:c>
      <x:c r="M419" s="16" t="str">
        <x:v>https://www.google.com/search?q=Dickinson%20Museum%20Center%20Dickinson%20North%20Dakota%20wikipedia%20OR%20wikivoyage</x:v>
      </x:c>
      <x:c r="N419" s="16" t="str">
        <x:v>https://www.google.com/maps/search/?api=1&amp;query=Dickinson%20Museum%20Center%2C%20Dickinson%2C%20North%20Dakota</x:v>
      </x:c>
      <x:c r="O419" s="17" t="b">
        <x:v>1</x:v>
      </x:c>
      <x:c r="P419" s="16" t="b">
        <x:f>IFERROR(VLOOKUP(A419,States!$A$2:$B$18,2,FALSE),FALSE)</x:f>
        <x:v>1</x:v>
      </x:c>
      <x:c r="Q419" s="16" t="b">
        <x:f>AND(OR(O419=TRUE,O419="TRUE"),OR(P419=TRUE,P419="TRUE"))</x:f>
        <x:v>1</x:v>
      </x:c>
    </x:row>
    <x:row r="420">
      <x:c r="A420" s="16" t="str">
        <x:v>North Dakota</x:v>
      </x:c>
      <x:c r="B420" s="16" t="str">
        <x:v>Medora</x:v>
      </x:c>
      <x:c r="C420" s="16" t="n">
        <x:v>-103.532</x:v>
      </x:c>
      <x:c r="D420" s="16" t="n">
        <x:v>46.913</x:v>
      </x:c>
      <x:c r="E420" s="16" t="str">
        <x:v>North Dakota Cowboy Hall of Fame</x:v>
      </x:c>
      <x:c r="F420" s="16" t="str">
        <x:v>Western-history fans, families</x:v>
      </x:c>
      <x:c r="G420" s="16" t="str">
        <x:v>Rodeo, ranching, and Native history deepen a Medora visit.</x:v>
      </x:c>
      <x:c r="H420" s="16" t="str">
        <x:v>Museum</x:v>
      </x:c>
      <x:c r="I420" s="16" t="str">
        <x:v>https://www.google.com/search?q=North%20Dakota%20Cowboy%20Hall%20of%20Fame%20Medora%20North%20Dakota%20official%20website</x:v>
      </x:c>
      <x:c r="J420" s="16" t="str">
        <x:v>https://www.google.com/search?q=site%3Andtourism.com%20North%20Dakota%20Cowboy%20Hall%20of%20Fame</x:v>
      </x:c>
      <x:c r="K420" s="16" t="str">
        <x:v>https://www.google.com/search?q=North%20Dakota%20Cowboy%20Hall%20of%20Fame%20Medora%20North%20Dakota%20visitor%20information</x:v>
      </x:c>
      <x:c r="L420" s="16" t="str">
        <x:v>https://www.google.com/search?q=North%20Dakota%20Cowboy%20Hall%20of%20Fame%20Medora%20North%20Dakota%20photos</x:v>
      </x:c>
      <x:c r="M420" s="16" t="str">
        <x:v>https://www.google.com/search?q=North%20Dakota%20Cowboy%20Hall%20of%20Fame%20Medora%20North%20Dakota%20wikipedia%20OR%20wikivoyage</x:v>
      </x:c>
      <x:c r="N420" s="16" t="str">
        <x:v>https://www.google.com/maps/search/?api=1&amp;query=North%20Dakota%20Cowboy%20Hall%20of%20Fame%2C%20Medora%2C%20North%20Dakota</x:v>
      </x:c>
      <x:c r="O420" s="17" t="b">
        <x:v>1</x:v>
      </x:c>
      <x:c r="P420" s="16" t="b">
        <x:f>IFERROR(VLOOKUP(A420,States!$A$2:$B$18,2,FALSE),FALSE)</x:f>
        <x:v>1</x:v>
      </x:c>
      <x:c r="Q420" s="16" t="b">
        <x:f>AND(OR(O420=TRUE,O420="TRUE"),OR(P420=TRUE,P420="TRUE"))</x:f>
        <x:v>1</x:v>
      </x:c>
    </x:row>
    <x:row r="421">
      <x:c r="A421" s="16" t="str">
        <x:v>North Dakota</x:v>
      </x:c>
      <x:c r="B421" s="16" t="str">
        <x:v>Cavalier</x:v>
      </x:c>
      <x:c r="C421" s="16" t="n">
        <x:v>-97.907</x:v>
      </x:c>
      <x:c r="D421" s="16" t="n">
        <x:v>48.783</x:v>
      </x:c>
      <x:c r="E421" s="16" t="str">
        <x:v>Icelandic State Park</x:v>
      </x:c>
      <x:c r="F421" s="16" t="str">
        <x:v>Families, campers, nature lovers</x:v>
      </x:c>
      <x:c r="G421" s="16" t="str">
        <x:v>Lake recreation, trails, and heritage exhibits fit northeastern routes.</x:v>
      </x:c>
      <x:c r="H421" s="16" t="str">
        <x:v>Nature</x:v>
      </x:c>
      <x:c r="I421" s="16" t="str">
        <x:v>https://www.google.com/search?q=Icelandic%20State%20Park%20Cavalier%20North%20Dakota%20official%20website</x:v>
      </x:c>
      <x:c r="J421" s="16" t="str">
        <x:v>https://www.google.com/search?q=site%3Andtourism.com%20Icelandic%20State%20Park</x:v>
      </x:c>
      <x:c r="K421" s="16" t="str">
        <x:v>https://www.google.com/search?q=Icelandic%20State%20Park%20Cavalier%20North%20Dakota%20visitor%20information</x:v>
      </x:c>
      <x:c r="L421" s="16" t="str">
        <x:v>https://www.google.com/search?q=Icelandic%20State%20Park%20Cavalier%20North%20Dakota%20photos</x:v>
      </x:c>
      <x:c r="M421" s="16" t="str">
        <x:v>https://www.google.com/search?q=Icelandic%20State%20Park%20Cavalier%20North%20Dakota%20wikipedia%20OR%20wikivoyage</x:v>
      </x:c>
      <x:c r="N421" s="16" t="str">
        <x:v>https://www.google.com/maps/search/?api=1&amp;query=Icelandic%20State%20Park%2C%20Cavalier%2C%20North%20Dakota</x:v>
      </x:c>
      <x:c r="O421" s="17" t="b">
        <x:v>1</x:v>
      </x:c>
      <x:c r="P421" s="16" t="b">
        <x:f>IFERROR(VLOOKUP(A421,States!$A$2:$B$18,2,FALSE),FALSE)</x:f>
        <x:v>1</x:v>
      </x:c>
      <x:c r="Q421" s="16" t="b">
        <x:f>AND(OR(O421=TRUE,O421="TRUE"),OR(P421=TRUE,P421="TRUE"))</x:f>
        <x:v>1</x:v>
      </x:c>
    </x:row>
    <x:row r="422">
      <x:c r="A422" s="16" t="str">
        <x:v>South Dakota</x:v>
      </x:c>
      <x:c r="B422" s="16" t="str">
        <x:v>Rapid City</x:v>
      </x:c>
      <x:c r="C422" s="16" t="n">
        <x:v>-103.229</x:v>
      </x:c>
      <x:c r="D422" s="16" t="n">
        <x:v>44.044</x:v>
      </x:c>
      <x:c r="E422" s="16" t="str">
        <x:v>Reptile Gardens</x:v>
      </x:c>
      <x:c r="F422" s="16" t="str">
        <x:v>Families, animal lovers</x:v>
      </x:c>
      <x:c r="G422" s="16" t="str">
        <x:v>A classic Black Hills attraction mixes reptiles, gardens, and shows.</x:v>
      </x:c>
      <x:c r="H422" s="16" t="str">
        <x:v>Zoo/Aquarium</x:v>
      </x:c>
      <x:c r="I422" s="16" t="str">
        <x:v>https://www.google.com/search?q=Reptile%20Gardens%20Rapid%20City%20South%20Dakota%20official%20website</x:v>
      </x:c>
      <x:c r="J422" s="16" t="str">
        <x:v>https://www.google.com/search?q=site%3Atravelsouthdakota.com%20Reptile%20Gardens</x:v>
      </x:c>
      <x:c r="K422" s="16" t="str">
        <x:v>https://www.google.com/search?q=Reptile%20Gardens%20Rapid%20City%20South%20Dakota%20visitor%20information</x:v>
      </x:c>
      <x:c r="L422" s="16" t="str">
        <x:v>https://www.google.com/search?q=Reptile%20Gardens%20Rapid%20City%20South%20Dakota%20photos</x:v>
      </x:c>
      <x:c r="M422" s="16" t="str">
        <x:v>https://www.google.com/search?q=Reptile%20Gardens%20Rapid%20City%20South%20Dakota%20wikipedia%20OR%20wikivoyage</x:v>
      </x:c>
      <x:c r="N422" s="16" t="str">
        <x:v>https://www.google.com/maps/search/?api=1&amp;query=Reptile%20Gardens%2C%20Rapid%20City%2C%20South%20Dakota</x:v>
      </x:c>
      <x:c r="O422" s="17" t="b">
        <x:v>1</x:v>
      </x:c>
      <x:c r="P422" s="16" t="b">
        <x:f>IFERROR(VLOOKUP(A422,States!$A$2:$B$18,2,FALSE),FALSE)</x:f>
        <x:v>1</x:v>
      </x:c>
      <x:c r="Q422" s="16" t="b">
        <x:f>AND(OR(O422=TRUE,O422="TRUE"),OR(P422=TRUE,P422="TRUE"))</x:f>
        <x:v>1</x:v>
      </x:c>
    </x:row>
    <x:row r="423">
      <x:c r="A423" s="16" t="str">
        <x:v>South Dakota</x:v>
      </x:c>
      <x:c r="B423" s="16" t="str">
        <x:v>Rapid City</x:v>
      </x:c>
      <x:c r="C423" s="16" t="n">
        <x:v>-103.231</x:v>
      </x:c>
      <x:c r="D423" s="16" t="n">
        <x:v>44.041</x:v>
      </x:c>
      <x:c r="E423" s="16" t="str">
        <x:v>Bear Country USA</x:v>
      </x:c>
      <x:c r="F423" s="16" t="str">
        <x:v>Families, wildlife watchers</x:v>
      </x:c>
      <x:c r="G423" s="16" t="str">
        <x:v>Drive-through wildlife viewing makes an easy Black Hills family stop.</x:v>
      </x:c>
      <x:c r="H423" s="16" t="str">
        <x:v>Wildlife</x:v>
      </x:c>
      <x:c r="I423" s="16" t="str">
        <x:v>https://www.google.com/search?q=Bear%20Country%20USA%20Rapid%20City%20South%20Dakota%20official%20website</x:v>
      </x:c>
      <x:c r="J423" s="16" t="str">
        <x:v>https://www.google.com/search?q=site%3Atravelsouthdakota.com%20Bear%20Country%20USA</x:v>
      </x:c>
      <x:c r="K423" s="16" t="str">
        <x:v>https://www.google.com/search?q=Bear%20Country%20USA%20Rapid%20City%20South%20Dakota%20visitor%20information</x:v>
      </x:c>
      <x:c r="L423" s="16" t="str">
        <x:v>https://www.google.com/search?q=Bear%20Country%20USA%20Rapid%20City%20South%20Dakota%20photos</x:v>
      </x:c>
      <x:c r="M423" s="16" t="str">
        <x:v>https://www.google.com/search?q=Bear%20Country%20USA%20Rapid%20City%20South%20Dakota%20wikipedia%20OR%20wikivoyage</x:v>
      </x:c>
      <x:c r="N423" s="16" t="str">
        <x:v>https://www.google.com/maps/search/?api=1&amp;query=Bear%20Country%20USA%2C%20Rapid%20City%2C%20South%20Dakota</x:v>
      </x:c>
      <x:c r="O423" s="17" t="b">
        <x:v>1</x:v>
      </x:c>
      <x:c r="P423" s="16" t="b">
        <x:f>IFERROR(VLOOKUP(A423,States!$A$2:$B$18,2,FALSE),FALSE)</x:f>
        <x:v>1</x:v>
      </x:c>
      <x:c r="Q423" s="16" t="b">
        <x:f>AND(OR(O423=TRUE,O423="TRUE"),OR(P423=TRUE,P423="TRUE"))</x:f>
        <x:v>1</x:v>
      </x:c>
    </x:row>
    <x:row r="424">
      <x:c r="A424" s="16" t="str">
        <x:v>South Dakota</x:v>
      </x:c>
      <x:c r="B424" s="16" t="str">
        <x:v>Rapid City</x:v>
      </x:c>
      <x:c r="C424" s="16" t="n">
        <x:v>-103.23</x:v>
      </x:c>
      <x:c r="D424" s="16" t="n">
        <x:v>44.085</x:v>
      </x:c>
      <x:c r="E424" s="16" t="str">
        <x:v>Dinosaur Park</x:v>
      </x:c>
      <x:c r="F424" s="16" t="str">
        <x:v>Families, roadside fans</x:v>
      </x:c>
      <x:c r="G424" s="16" t="str">
        <x:v>Vintage hilltop dinosaurs and city views provide a quick nostalgic stop.</x:v>
      </x:c>
      <x:c r="H424" s="16" t="str">
        <x:v>Roadside</x:v>
      </x:c>
      <x:c r="I424" s="16" t="str">
        <x:v>https://www.google.com/search?q=Dinosaur%20Park%20Rapid%20City%20South%20Dakota%20official%20website</x:v>
      </x:c>
      <x:c r="J424" s="16" t="str">
        <x:v>https://www.google.com/search?q=site%3Atravelsouthdakota.com%20Dinosaur%20Park</x:v>
      </x:c>
      <x:c r="K424" s="16" t="str">
        <x:v>https://www.google.com/search?q=Dinosaur%20Park%20Rapid%20City%20South%20Dakota%20visitor%20information</x:v>
      </x:c>
      <x:c r="L424" s="16" t="str">
        <x:v>https://www.google.com/search?q=Dinosaur%20Park%20Rapid%20City%20South%20Dakota%20photos</x:v>
      </x:c>
      <x:c r="M424" s="16" t="str">
        <x:v>https://www.google.com/search?q=Dinosaur%20Park%20Rapid%20City%20South%20Dakota%20wikipedia%20OR%20wikivoyage</x:v>
      </x:c>
      <x:c r="N424" s="16" t="str">
        <x:v>https://www.google.com/maps/search/?api=1&amp;query=Dinosaur%20Park%2C%20Rapid%20City%2C%20South%20Dakota</x:v>
      </x:c>
      <x:c r="O424" s="17" t="b">
        <x:v>1</x:v>
      </x:c>
      <x:c r="P424" s="16" t="b">
        <x:f>IFERROR(VLOOKUP(A424,States!$A$2:$B$18,2,FALSE),FALSE)</x:f>
        <x:v>1</x:v>
      </x:c>
      <x:c r="Q424" s="16" t="b">
        <x:f>AND(OR(O424=TRUE,O424="TRUE"),OR(P424=TRUE,P424="TRUE"))</x:f>
        <x:v>1</x:v>
      </x:c>
    </x:row>
    <x:row r="425">
      <x:c r="A425" s="16" t="str">
        <x:v>South Dakota</x:v>
      </x:c>
      <x:c r="B425" s="16" t="str">
        <x:v>Keystone</x:v>
      </x:c>
      <x:c r="C425" s="16" t="n">
        <x:v>-103.457</x:v>
      </x:c>
      <x:c r="D425" s="16" t="n">
        <x:v>43.895</x:v>
      </x:c>
      <x:c r="E425" s="16" t="str">
        <x:v>1880 Train</x:v>
      </x:c>
      <x:c r="F425" s="16" t="str">
        <x:v>Train fans, families</x:v>
      </x:c>
      <x:c r="G425" s="16" t="str">
        <x:v>A heritage steam-train ride connects Keystone and Hill City.</x:v>
      </x:c>
      <x:c r="H425" s="16" t="str">
        <x:v>Scenic Railway</x:v>
      </x:c>
      <x:c r="I425" s="16" t="str">
        <x:v>https://www.google.com/search?q=1880%20Train%20Keystone%20South%20Dakota%20official%20website</x:v>
      </x:c>
      <x:c r="J425" s="16" t="str">
        <x:v>https://www.google.com/search?q=site%3Atravelsouthdakota.com%201880%20Train</x:v>
      </x:c>
      <x:c r="K425" s="16" t="str">
        <x:v>https://www.google.com/search?q=1880%20Train%20Keystone%20South%20Dakota%20visitor%20information</x:v>
      </x:c>
      <x:c r="L425" s="16" t="str">
        <x:v>https://www.google.com/search?q=1880%20Train%20Keystone%20South%20Dakota%20photos</x:v>
      </x:c>
      <x:c r="M425" s="16" t="str">
        <x:v>https://www.google.com/search?q=1880%20Train%20Keystone%20South%20Dakota%20wikipedia%20OR%20wikivoyage</x:v>
      </x:c>
      <x:c r="N425" s="16" t="str">
        <x:v>https://www.google.com/maps/search/?api=1&amp;query=1880%20Train%2C%20Keystone%2C%20South%20Dakota</x:v>
      </x:c>
      <x:c r="O425" s="17" t="b">
        <x:v>1</x:v>
      </x:c>
      <x:c r="P425" s="16" t="b">
        <x:f>IFERROR(VLOOKUP(A425,States!$A$2:$B$18,2,FALSE),FALSE)</x:f>
        <x:v>1</x:v>
      </x:c>
      <x:c r="Q425" s="16" t="b">
        <x:f>AND(OR(O425=TRUE,O425="TRUE"),OR(P425=TRUE,P425="TRUE"))</x:f>
        <x:v>1</x:v>
      </x:c>
    </x:row>
    <x:row r="426">
      <x:c r="A426" s="16" t="str">
        <x:v>South Dakota</x:v>
      </x:c>
      <x:c r="B426" s="16" t="str">
        <x:v>Hill City</x:v>
      </x:c>
      <x:c r="C426" s="16" t="n">
        <x:v>-103.575</x:v>
      </x:c>
      <x:c r="D426" s="16" t="n">
        <x:v>43.932</x:v>
      </x:c>
      <x:c r="E426" s="16" t="str">
        <x:v>Black Hills Central Railroad</x:v>
      </x:c>
      <x:c r="F426" s="16" t="str">
        <x:v>Train fans, families</x:v>
      </x:c>
      <x:c r="G426" s="16" t="str">
        <x:v>Historic rail travel adds a slower way to see the Black Hills.</x:v>
      </x:c>
      <x:c r="H426" s="16" t="str">
        <x:v>Scenic Railway</x:v>
      </x:c>
      <x:c r="I426" s="16" t="str">
        <x:v>https://www.google.com/search?q=Black%20Hills%20Central%20Railroad%20Hill%20City%20South%20Dakota%20official%20website</x:v>
      </x:c>
      <x:c r="J426" s="16" t="str">
        <x:v>https://www.google.com/search?q=site%3Atravelsouthdakota.com%20Black%20Hills%20Central%20Railroad</x:v>
      </x:c>
      <x:c r="K426" s="16" t="str">
        <x:v>https://www.google.com/search?q=Black%20Hills%20Central%20Railroad%20Hill%20City%20South%20Dakota%20visitor%20information</x:v>
      </x:c>
      <x:c r="L426" s="16" t="str">
        <x:v>https://www.google.com/search?q=Black%20Hills%20Central%20Railroad%20Hill%20City%20South%20Dakota%20photos</x:v>
      </x:c>
      <x:c r="M426" s="16" t="str">
        <x:v>https://www.google.com/search?q=Black%20Hills%20Central%20Railroad%20Hill%20City%20South%20Dakota%20wikipedia%20OR%20wikivoyage</x:v>
      </x:c>
      <x:c r="N426" s="16" t="str">
        <x:v>https://www.google.com/maps/search/?api=1&amp;query=Black%20Hills%20Central%20Railroad%2C%20Hill%20City%2C%20South%20Dakota</x:v>
      </x:c>
      <x:c r="O426" s="17" t="b">
        <x:v>1</x:v>
      </x:c>
      <x:c r="P426" s="16" t="b">
        <x:f>IFERROR(VLOOKUP(A426,States!$A$2:$B$18,2,FALSE),FALSE)</x:f>
        <x:v>1</x:v>
      </x:c>
      <x:c r="Q426" s="16" t="b">
        <x:f>AND(OR(O426=TRUE,O426="TRUE"),OR(P426=TRUE,P426="TRUE"))</x:f>
        <x:v>1</x:v>
      </x:c>
    </x:row>
    <x:row r="427">
      <x:c r="A427" s="16" t="str">
        <x:v>South Dakota</x:v>
      </x:c>
      <x:c r="B427" s="16" t="str">
        <x:v>Lead</x:v>
      </x:c>
      <x:c r="C427" s="16" t="n">
        <x:v>-103.765</x:v>
      </x:c>
      <x:c r="D427" s="16" t="n">
        <x:v>44.353</x:v>
      </x:c>
      <x:c r="E427" s="16" t="str">
        <x:v>Sanford Lab Homestake Visitor Center</x:v>
      </x:c>
      <x:c r="F427" s="16" t="str">
        <x:v>Science fans, history travelers</x:v>
      </x:c>
      <x:c r="G427" s="16" t="str">
        <x:v>A former gold mine now supports deep-underground science.</x:v>
      </x:c>
      <x:c r="H427" s="16" t="str">
        <x:v>Science</x:v>
      </x:c>
      <x:c r="I427" s="16" t="str">
        <x:v>https://www.google.com/search?q=Sanford%20Lab%20Homestake%20Visitor%20Center%20Lead%20South%20Dakota%20official%20website</x:v>
      </x:c>
      <x:c r="J427" s="16" t="str">
        <x:v>https://www.google.com/search?q=site%3Atravelsouthdakota.com%20Sanford%20Lab%20Homestake%20Visitor%20Center</x:v>
      </x:c>
      <x:c r="K427" s="16" t="str">
        <x:v>https://www.google.com/search?q=Sanford%20Lab%20Homestake%20Visitor%20Center%20Lead%20South%20Dakota%20visitor%20information</x:v>
      </x:c>
      <x:c r="L427" s="16" t="str">
        <x:v>https://www.google.com/search?q=Sanford%20Lab%20Homestake%20Visitor%20Center%20Lead%20South%20Dakota%20photos</x:v>
      </x:c>
      <x:c r="M427" s="16" t="str">
        <x:v>https://www.google.com/search?q=Sanford%20Lab%20Homestake%20Visitor%20Center%20Lead%20South%20Dakota%20wikipedia%20OR%20wikivoyage</x:v>
      </x:c>
      <x:c r="N427" s="16" t="str">
        <x:v>https://www.google.com/maps/search/?api=1&amp;query=Sanford%20Lab%20Homestake%20Visitor%20Center%2C%20Lead%2C%20South%20Dakota</x:v>
      </x:c>
      <x:c r="O427" s="17" t="b">
        <x:v>1</x:v>
      </x:c>
      <x:c r="P427" s="16" t="b">
        <x:f>IFERROR(VLOOKUP(A427,States!$A$2:$B$18,2,FALSE),FALSE)</x:f>
        <x:v>1</x:v>
      </x:c>
      <x:c r="Q427" s="16" t="b">
        <x:f>AND(OR(O427=TRUE,O427="TRUE"),OR(P427=TRUE,P427="TRUE"))</x:f>
        <x:v>1</x:v>
      </x:c>
    </x:row>
    <x:row r="428">
      <x:c r="A428" s="16" t="str">
        <x:v>South Dakota</x:v>
      </x:c>
      <x:c r="B428" s="16" t="str">
        <x:v>Aberdeen</x:v>
      </x:c>
      <x:c r="C428" s="16" t="n">
        <x:v>-98.488</x:v>
      </x:c>
      <x:c r="D428" s="16" t="n">
        <x:v>45.464</x:v>
      </x:c>
      <x:c r="E428" s="16" t="str">
        <x:v>Storybook Land</x:v>
      </x:c>
      <x:c r="F428" s="16" t="str">
        <x:v>Families, young kids</x:v>
      </x:c>
      <x:c r="G428" s="16" t="str">
        <x:v>Free storybook-themed parkland makes a playful northern South Dakota stop.</x:v>
      </x:c>
      <x:c r="H428" s="16" t="str">
        <x:v>Theme Park</x:v>
      </x:c>
      <x:c r="I428" s="16" t="str">
        <x:v>https://www.google.com/search?q=Storybook%20Land%20Aberdeen%20South%20Dakota%20official%20website</x:v>
      </x:c>
      <x:c r="J428" s="16" t="str">
        <x:v>https://www.google.com/search?q=site%3Atravelsouthdakota.com%20Storybook%20Land</x:v>
      </x:c>
      <x:c r="K428" s="16" t="str">
        <x:v>https://www.google.com/search?q=Storybook%20Land%20Aberdeen%20South%20Dakota%20visitor%20information</x:v>
      </x:c>
      <x:c r="L428" s="16" t="str">
        <x:v>https://www.google.com/search?q=Storybook%20Land%20Aberdeen%20South%20Dakota%20photos</x:v>
      </x:c>
      <x:c r="M428" s="16" t="str">
        <x:v>https://www.google.com/search?q=Storybook%20Land%20Aberdeen%20South%20Dakota%20wikipedia%20OR%20wikivoyage</x:v>
      </x:c>
      <x:c r="N428" s="16" t="str">
        <x:v>https://www.google.com/maps/search/?api=1&amp;query=Storybook%20Land%2C%20Aberdeen%2C%20South%20Dakota</x:v>
      </x:c>
      <x:c r="O428" s="17" t="b">
        <x:v>1</x:v>
      </x:c>
      <x:c r="P428" s="16" t="b">
        <x:f>IFERROR(VLOOKUP(A428,States!$A$2:$B$18,2,FALSE),FALSE)</x:f>
        <x:v>1</x:v>
      </x:c>
      <x:c r="Q428" s="16" t="b">
        <x:f>AND(OR(O428=TRUE,O428="TRUE"),OR(P428=TRUE,P428="TRUE"))</x:f>
        <x:v>1</x:v>
      </x:c>
    </x:row>
    <x:row r="429">
      <x:c r="A429" s="16" t="str">
        <x:v>South Dakota</x:v>
      </x:c>
      <x:c r="B429" s="16" t="str">
        <x:v>Brookings</x:v>
      </x:c>
      <x:c r="C429" s="16" t="n">
        <x:v>-96.789</x:v>
      </x:c>
      <x:c r="D429" s="16" t="n">
        <x:v>44.316</x:v>
      </x:c>
      <x:c r="E429" s="16" t="str">
        <x:v>South Dakota Art Museum</x:v>
      </x:c>
      <x:c r="F429" s="16" t="str">
        <x:v>Art lovers, college-town travelers</x:v>
      </x:c>
      <x:c r="G429" s="16" t="str">
        <x:v>Regional art and Harvey Dunn works enrich a Brookings visit.</x:v>
      </x:c>
      <x:c r="H429" s="16" t="str">
        <x:v>Museum</x:v>
      </x:c>
      <x:c r="I429" s="16" t="str">
        <x:v>https://www.google.com/search?q=South%20Dakota%20Art%20Museum%20Brookings%20South%20Dakota%20official%20website</x:v>
      </x:c>
      <x:c r="J429" s="16" t="str">
        <x:v>https://www.google.com/search?q=site%3Atravelsouthdakota.com%20South%20Dakota%20Art%20Museum</x:v>
      </x:c>
      <x:c r="K429" s="16" t="str">
        <x:v>https://www.google.com/search?q=South%20Dakota%20Art%20Museum%20Brookings%20South%20Dakota%20visitor%20information</x:v>
      </x:c>
      <x:c r="L429" s="16" t="str">
        <x:v>https://www.google.com/search?q=South%20Dakota%20Art%20Museum%20Brookings%20South%20Dakota%20photos</x:v>
      </x:c>
      <x:c r="M429" s="16" t="str">
        <x:v>https://www.google.com/search?q=South%20Dakota%20Art%20Museum%20Brookings%20South%20Dakota%20wikipedia%20OR%20wikivoyage</x:v>
      </x:c>
      <x:c r="N429" s="16" t="str">
        <x:v>https://www.google.com/maps/search/?api=1&amp;query=South%20Dakota%20Art%20Museum%2C%20Brookings%2C%20South%20Dakota</x:v>
      </x:c>
      <x:c r="O429" s="17" t="b">
        <x:v>1</x:v>
      </x:c>
      <x:c r="P429" s="16" t="b">
        <x:f>IFERROR(VLOOKUP(A429,States!$A$2:$B$18,2,FALSE),FALSE)</x:f>
        <x:v>1</x:v>
      </x:c>
      <x:c r="Q429" s="16" t="b">
        <x:f>AND(OR(O429=TRUE,O429="TRUE"),OR(P429=TRUE,P429="TRUE"))</x:f>
        <x:v>1</x:v>
      </x:c>
    </x:row>
    <x:row r="430">
      <x:c r="A430" s="16" t="str">
        <x:v>South Dakota</x:v>
      </x:c>
      <x:c r="B430" s="16" t="str">
        <x:v>Brookings</x:v>
      </x:c>
      <x:c r="C430" s="16" t="n">
        <x:v>-96.783</x:v>
      </x:c>
      <x:c r="D430" s="16" t="n">
        <x:v>44.317</x:v>
      </x:c>
      <x:c r="E430" s="16" t="str">
        <x:v>McCrory Gardens</x:v>
      </x:c>
      <x:c r="F430" s="16" t="str">
        <x:v>Garden lovers, families</x:v>
      </x:c>
      <x:c r="G430" s="16" t="str">
        <x:v>Display gardens and arboretum paths add a calm prairie stop.</x:v>
      </x:c>
      <x:c r="H430" s="16" t="str">
        <x:v>Garden</x:v>
      </x:c>
      <x:c r="I430" s="16" t="str">
        <x:v>https://www.google.com/search?q=McCrory%20Gardens%20Brookings%20South%20Dakota%20official%20website</x:v>
      </x:c>
      <x:c r="J430" s="16" t="str">
        <x:v>https://www.google.com/search?q=site%3Atravelsouthdakota.com%20McCrory%20Gardens</x:v>
      </x:c>
      <x:c r="K430" s="16" t="str">
        <x:v>https://www.google.com/search?q=McCrory%20Gardens%20Brookings%20South%20Dakota%20visitor%20information</x:v>
      </x:c>
      <x:c r="L430" s="16" t="str">
        <x:v>https://www.google.com/search?q=McCrory%20Gardens%20Brookings%20South%20Dakota%20photos</x:v>
      </x:c>
      <x:c r="M430" s="16" t="str">
        <x:v>https://www.google.com/search?q=McCrory%20Gardens%20Brookings%20South%20Dakota%20wikipedia%20OR%20wikivoyage</x:v>
      </x:c>
      <x:c r="N430" s="16" t="str">
        <x:v>https://www.google.com/maps/search/?api=1&amp;query=McCrory%20Gardens%2C%20Brookings%2C%20South%20Dakota</x:v>
      </x:c>
      <x:c r="O430" s="17" t="b">
        <x:v>1</x:v>
      </x:c>
      <x:c r="P430" s="16" t="b">
        <x:f>IFERROR(VLOOKUP(A430,States!$A$2:$B$18,2,FALSE),FALSE)</x:f>
        <x:v>1</x:v>
      </x:c>
      <x:c r="Q430" s="16" t="b">
        <x:f>AND(OR(O430=TRUE,O430="TRUE"),OR(P430=TRUE,P430="TRUE"))</x:f>
        <x:v>1</x:v>
      </x:c>
    </x:row>
    <x:row r="431">
      <x:c r="A431" s="16" t="str">
        <x:v>South Dakota</x:v>
      </x:c>
      <x:c r="B431" s="16" t="str">
        <x:v>Pierre</x:v>
      </x:c>
      <x:c r="C431" s="16" t="n">
        <x:v>-100.346</x:v>
      </x:c>
      <x:c r="D431" s="16" t="n">
        <x:v>44.366</x:v>
      </x:c>
      <x:c r="E431" s="16" t="str">
        <x:v>South Dakota State Capitol</x:v>
      </x:c>
      <x:c r="F431" s="16" t="str">
        <x:v>Architecture fans, history travelers</x:v>
      </x:c>
      <x:c r="G431" s="16" t="str">
        <x:v>Capitol grounds and lake setting make a worthwhile central-state stop.</x:v>
      </x:c>
      <x:c r="H431" s="16" t="str">
        <x:v>Architecture</x:v>
      </x:c>
      <x:c r="I431" s="16" t="str">
        <x:v>https://www.google.com/search?q=South%20Dakota%20State%20Capitol%20Pierre%20South%20Dakota%20official%20website</x:v>
      </x:c>
      <x:c r="J431" s="16" t="str">
        <x:v>https://www.google.com/search?q=site%3Atravelsouthdakota.com%20South%20Dakota%20State%20Capitol</x:v>
      </x:c>
      <x:c r="K431" s="16" t="str">
        <x:v>https://www.google.com/search?q=South%20Dakota%20State%20Capitol%20Pierre%20South%20Dakota%20visitor%20information</x:v>
      </x:c>
      <x:c r="L431" s="16" t="str">
        <x:v>https://www.google.com/search?q=South%20Dakota%20State%20Capitol%20Pierre%20South%20Dakota%20photos</x:v>
      </x:c>
      <x:c r="M431" s="16" t="str">
        <x:v>https://www.google.com/search?q=South%20Dakota%20State%20Capitol%20Pierre%20South%20Dakota%20wikipedia%20OR%20wikivoyage</x:v>
      </x:c>
      <x:c r="N431" s="16" t="str">
        <x:v>https://www.google.com/maps/search/?api=1&amp;query=South%20Dakota%20State%20Capitol%2C%20Pierre%2C%20South%20Dakota</x:v>
      </x:c>
      <x:c r="O431" s="17" t="b">
        <x:v>1</x:v>
      </x:c>
      <x:c r="P431" s="16" t="b">
        <x:f>IFERROR(VLOOKUP(A431,States!$A$2:$B$18,2,FALSE),FALSE)</x:f>
        <x:v>1</x:v>
      </x:c>
      <x:c r="Q431" s="16" t="b">
        <x:f>AND(OR(O431=TRUE,O431="TRUE"),OR(P431=TRUE,P431="TRUE"))</x:f>
        <x:v>1</x:v>
      </x:c>
    </x:row>
    <x:row r="432">
      <x:c r="A432" s="16" t="str">
        <x:v>Nebraska</x:v>
      </x:c>
      <x:c r="B432" s="16" t="str">
        <x:v>Omaha</x:v>
      </x:c>
      <x:c r="C432" s="16" t="n">
        <x:v>-95.928</x:v>
      </x:c>
      <x:c r="D432" s="16" t="n">
        <x:v>41.224</x:v>
      </x:c>
      <x:c r="E432" s="16" t="str">
        <x:v>Omaha's Henry Doorly Zoo and Aquarium</x:v>
      </x:c>
      <x:c r="F432" s="16" t="str">
        <x:v>Families, animal lovers</x:v>
      </x:c>
      <x:c r="G432" s="16" t="str">
        <x:v>World-class indoor and outdoor habitats make it Nebraska's signature family attraction.</x:v>
      </x:c>
      <x:c r="H432" s="16" t="str">
        <x:v>Zoo/Aquarium</x:v>
      </x:c>
      <x:c r="I432" s="16" t="str">
        <x:v>https://www.google.com/search?q=Omaha's%20Henry%20Doorly%20Zoo%20and%20Aquarium%20Omaha%20Nebraska%20official%20website</x:v>
      </x:c>
      <x:c r="J432" s="16" t="str">
        <x:v>https://www.google.com/search?q=site%3Avisitnebraska.com%20Omaha's%20Henry%20Doorly%20Zoo%20and%20Aquarium</x:v>
      </x:c>
      <x:c r="K432" s="16" t="str">
        <x:v>https://www.google.com/search?q=Omaha's%20Henry%20Doorly%20Zoo%20and%20Aquarium%20Omaha%20Nebraska%20visitor%20information</x:v>
      </x:c>
      <x:c r="L432" s="16" t="str">
        <x:v>https://www.google.com/search?q=Omaha's%20Henry%20Doorly%20Zoo%20and%20Aquarium%20Omaha%20Nebraska%20photos</x:v>
      </x:c>
      <x:c r="M432" s="16" t="str">
        <x:v>https://www.google.com/search?q=Omaha's%20Henry%20Doorly%20Zoo%20and%20Aquarium%20Omaha%20Nebraska%20wikipedia%20OR%20wikivoyage</x:v>
      </x:c>
      <x:c r="N432" s="16" t="str">
        <x:v>https://www.google.com/maps/search/?api=1&amp;query=Omaha's%20Henry%20Doorly%20Zoo%20and%20Aquarium%2C%20Omaha%2C%20Nebraska</x:v>
      </x:c>
      <x:c r="O432" s="17" t="b">
        <x:v>1</x:v>
      </x:c>
      <x:c r="P432" s="16" t="b">
        <x:f>IFERROR(VLOOKUP(A432,States!$A$2:$B$18,2,FALSE),FALSE)</x:f>
        <x:v>1</x:v>
      </x:c>
      <x:c r="Q432" s="16" t="b">
        <x:f>AND(OR(O432=TRUE,O432="TRUE"),OR(P432=TRUE,P432="TRUE"))</x:f>
        <x:v>1</x:v>
      </x:c>
    </x:row>
    <x:row r="433">
      <x:c r="A433" s="16" t="str">
        <x:v>Nebraska</x:v>
      </x:c>
      <x:c r="B433" s="16" t="str">
        <x:v>Scottsbluff</x:v>
      </x:c>
      <x:c r="C433" s="16" t="n">
        <x:v>-103.707</x:v>
      </x:c>
      <x:c r="D433" s="16" t="n">
        <x:v>41.835</x:v>
      </x:c>
      <x:c r="E433" s="16" t="str">
        <x:v>Scotts Bluff National Monument</x:v>
      </x:c>
      <x:c r="F433" s="16" t="str">
        <x:v>History travelers, hikers, families</x:v>
      </x:c>
      <x:c r="G433" s="16" t="str">
        <x:v>Oregon Trail landmarks and blufftop views connect landscape with migration history.</x:v>
      </x:c>
      <x:c r="H433" s="16" t="str">
        <x:v>National Monument</x:v>
      </x:c>
      <x:c r="I433" s="16" t="str">
        <x:v>https://www.google.com/search?q=Scotts%20Bluff%20National%20Monument%20Scottsbluff%20Nebraska%20official%20website</x:v>
      </x:c>
      <x:c r="J433" s="16" t="str">
        <x:v>https://www.google.com/search?q=site%3Avisitnebraska.com%20Scotts%20Bluff%20National%20Monument</x:v>
      </x:c>
      <x:c r="K433" s="16" t="str">
        <x:v>https://www.google.com/search?q=Scotts%20Bluff%20National%20Monument%20Scottsbluff%20Nebraska%20visitor%20information</x:v>
      </x:c>
      <x:c r="L433" s="16" t="str">
        <x:v>https://www.google.com/search?q=Scotts%20Bluff%20National%20Monument%20Scottsbluff%20Nebraska%20photos</x:v>
      </x:c>
      <x:c r="M433" s="16" t="str">
        <x:v>https://www.google.com/search?q=site%3Anps.gov%20Scotts%20Bluff%20National%20Monument</x:v>
      </x:c>
      <x:c r="N433" s="16" t="str">
        <x:v>https://www.google.com/maps/search/?api=1&amp;query=Scotts%20Bluff%20National%20Monument%2C%20Scottsbluff%2C%20Nebraska</x:v>
      </x:c>
      <x:c r="O433" s="17" t="b">
        <x:v>1</x:v>
      </x:c>
      <x:c r="P433" s="16" t="b">
        <x:f>IFERROR(VLOOKUP(A433,States!$A$2:$B$18,2,FALSE),FALSE)</x:f>
        <x:v>1</x:v>
      </x:c>
      <x:c r="Q433" s="16" t="b">
        <x:f>AND(OR(O433=TRUE,O433="TRUE"),OR(P433=TRUE,P433="TRUE"))</x:f>
        <x:v>1</x:v>
      </x:c>
    </x:row>
    <x:row r="434">
      <x:c r="A434" s="16" t="str">
        <x:v>Nebraska</x:v>
      </x:c>
      <x:c r="B434" s="16" t="str">
        <x:v>Gering</x:v>
      </x:c>
      <x:c r="C434" s="16" t="n">
        <x:v>-103.349</x:v>
      </x:c>
      <x:c r="D434" s="16" t="n">
        <x:v>41.703</x:v>
      </x:c>
      <x:c r="E434" s="16" t="str">
        <x:v>Chimney Rock National Historic Site</x:v>
      </x:c>
      <x:c r="F434" s="16" t="str">
        <x:v>History travelers, photographers</x:v>
      </x:c>
      <x:c r="G434" s="16" t="str">
        <x:v>A famous Oregon Trail landmark rises dramatically from western Nebraska plains.</x:v>
      </x:c>
      <x:c r="H434" s="16" t="str">
        <x:v>Historic Site</x:v>
      </x:c>
      <x:c r="I434" s="16" t="str">
        <x:v>https://www.google.com/search?q=Chimney%20Rock%20National%20Historic%20Site%20Gering%20Nebraska%20official%20website</x:v>
      </x:c>
      <x:c r="J434" s="16" t="str">
        <x:v>https://www.google.com/search?q=site%3Avisitnebraska.com%20Chimney%20Rock%20National%20Historic%20Site</x:v>
      </x:c>
      <x:c r="K434" s="16" t="str">
        <x:v>https://www.google.com/search?q=Chimney%20Rock%20National%20Historic%20Site%20Gering%20Nebraska%20visitor%20information</x:v>
      </x:c>
      <x:c r="L434" s="16" t="str">
        <x:v>https://www.google.com/search?q=Chimney%20Rock%20National%20Historic%20Site%20Gering%20Nebraska%20photos</x:v>
      </x:c>
      <x:c r="M434" s="16" t="str">
        <x:v>https://www.google.com/search?q=Chimney%20Rock%20National%20Historic%20Site%20Gering%20Nebraska%20wikipedia%20OR%20wikivoyage</x:v>
      </x:c>
      <x:c r="N434" s="16" t="str">
        <x:v>https://www.google.com/maps/search/?api=1&amp;query=Chimney%20Rock%20National%20Historic%20Site%2C%20Gering%2C%20Nebraska</x:v>
      </x:c>
      <x:c r="O434" s="17" t="b">
        <x:v>1</x:v>
      </x:c>
      <x:c r="P434" s="16" t="b">
        <x:f>IFERROR(VLOOKUP(A434,States!$A$2:$B$18,2,FALSE),FALSE)</x:f>
        <x:v>1</x:v>
      </x:c>
      <x:c r="Q434" s="16" t="b">
        <x:f>AND(OR(O434=TRUE,O434="TRUE"),OR(P434=TRUE,P434="TRUE"))</x:f>
        <x:v>1</x:v>
      </x:c>
    </x:row>
    <x:row r="435">
      <x:c r="A435" s="16" t="str">
        <x:v>Nebraska</x:v>
      </x:c>
      <x:c r="B435" s="16" t="str">
        <x:v>Ashland</x:v>
      </x:c>
      <x:c r="C435" s="16" t="n">
        <x:v>-96.502</x:v>
      </x:c>
      <x:c r="D435" s="16" t="n">
        <x:v>41.017</x:v>
      </x:c>
      <x:c r="E435" s="16" t="str">
        <x:v>Strategic Air Command and Aerospace Museum</x:v>
      </x:c>
      <x:c r="F435" s="16" t="str">
        <x:v>Aviation fans, families, veterans</x:v>
      </x:c>
      <x:c r="G435" s="16" t="str">
        <x:v>Large aircraft and space exhibits tell Cold War and aerospace stories.</x:v>
      </x:c>
      <x:c r="H435" s="16" t="str">
        <x:v>Museum</x:v>
      </x:c>
      <x:c r="I435" s="16" t="str">
        <x:v>https://www.google.com/search?q=Strategic%20Air%20Command%20and%20Aerospace%20Museum%20Ashland%20Nebraska%20official%20website</x:v>
      </x:c>
      <x:c r="J435" s="16" t="str">
        <x:v>https://www.google.com/search?q=site%3Avisitnebraska.com%20Strategic%20Air%20Command%20and%20Aerospace%20Museum</x:v>
      </x:c>
      <x:c r="K435" s="16" t="str">
        <x:v>https://www.google.com/search?q=Strategic%20Air%20Command%20and%20Aerospace%20Museum%20Ashland%20Nebraska%20visitor%20information</x:v>
      </x:c>
      <x:c r="L435" s="16" t="str">
        <x:v>https://www.google.com/search?q=Strategic%20Air%20Command%20and%20Aerospace%20Museum%20Ashland%20Nebraska%20photos</x:v>
      </x:c>
      <x:c r="M435" s="16" t="str">
        <x:v>https://www.google.com/search?q=Strategic%20Air%20Command%20and%20Aerospace%20Museum%20Ashland%20Nebraska%20wikipedia%20OR%20wikivoyage</x:v>
      </x:c>
      <x:c r="N435" s="16" t="str">
        <x:v>https://www.google.com/maps/search/?api=1&amp;query=Strategic%20Air%20Command%20and%20Aerospace%20Museum%2C%20Ashland%2C%20Nebraska</x:v>
      </x:c>
      <x:c r="O435" s="17" t="b">
        <x:v>1</x:v>
      </x:c>
      <x:c r="P435" s="16" t="b">
        <x:f>IFERROR(VLOOKUP(A435,States!$A$2:$B$18,2,FALSE),FALSE)</x:f>
        <x:v>1</x:v>
      </x:c>
      <x:c r="Q435" s="16" t="b">
        <x:f>AND(OR(O435=TRUE,O435="TRUE"),OR(P435=TRUE,P435="TRUE"))</x:f>
        <x:v>1</x:v>
      </x:c>
    </x:row>
    <x:row r="436">
      <x:c r="A436" s="16" t="str">
        <x:v>Nebraska</x:v>
      </x:c>
      <x:c r="B436" s="16" t="str">
        <x:v>Royal</x:v>
      </x:c>
      <x:c r="C436" s="16" t="n">
        <x:v>-98.068</x:v>
      </x:c>
      <x:c r="D436" s="16" t="n">
        <x:v>42.42</x:v>
      </x:c>
      <x:c r="E436" s="16" t="str">
        <x:v>Ashfall Fossil Beds State Historical Park</x:v>
      </x:c>
      <x:c r="F436" s="16" t="str">
        <x:v>Fossil fans, families, science travelers</x:v>
      </x:c>
      <x:c r="G436" s="16" t="str">
        <x:v>An active fossil site preserves prehistoric animals buried by volcanic ash.</x:v>
      </x:c>
      <x:c r="H436" s="16" t="str">
        <x:v>Science</x:v>
      </x:c>
      <x:c r="I436" s="16" t="str">
        <x:v>https://www.google.com/search?q=Ashfall%20Fossil%20Beds%20State%20Historical%20Park%20Royal%20Nebraska%20official%20website</x:v>
      </x:c>
      <x:c r="J436" s="16" t="str">
        <x:v>https://www.google.com/search?q=site%3Avisitnebraska.com%20Ashfall%20Fossil%20Beds%20State%20Historical%20Park</x:v>
      </x:c>
      <x:c r="K436" s="16" t="str">
        <x:v>https://www.google.com/search?q=Ashfall%20Fossil%20Beds%20State%20Historical%20Park%20Royal%20Nebraska%20visitor%20information</x:v>
      </x:c>
      <x:c r="L436" s="16" t="str">
        <x:v>https://www.google.com/search?q=Ashfall%20Fossil%20Beds%20State%20Historical%20Park%20Royal%20Nebraska%20photos</x:v>
      </x:c>
      <x:c r="M436" s="16" t="str">
        <x:v>https://www.google.com/search?q=Ashfall%20Fossil%20Beds%20State%20Historical%20Park%20Royal%20Nebraska%20wikipedia%20OR%20wikivoyage</x:v>
      </x:c>
      <x:c r="N436" s="16" t="str">
        <x:v>https://www.google.com/maps/search/?api=1&amp;query=Ashfall%20Fossil%20Beds%20State%20Historical%20Park%2C%20Royal%2C%20Nebraska</x:v>
      </x:c>
      <x:c r="O436" s="17" t="b">
        <x:v>1</x:v>
      </x:c>
      <x:c r="P436" s="16" t="b">
        <x:f>IFERROR(VLOOKUP(A436,States!$A$2:$B$18,2,FALSE),FALSE)</x:f>
        <x:v>1</x:v>
      </x:c>
      <x:c r="Q436" s="16" t="b">
        <x:f>AND(OR(O436=TRUE,O436="TRUE"),OR(P436=TRUE,P436="TRUE"))</x:f>
        <x:v>1</x:v>
      </x:c>
    </x:row>
    <x:row r="437">
      <x:c r="A437" s="16" t="str">
        <x:v>Nebraska</x:v>
      </x:c>
      <x:c r="B437" s="16" t="str">
        <x:v>Valentine</x:v>
      </x:c>
      <x:c r="C437" s="16" t="n">
        <x:v>-100.547</x:v>
      </x:c>
      <x:c r="D437" s="16" t="n">
        <x:v>42.894</x:v>
      </x:c>
      <x:c r="E437" s="16" t="str">
        <x:v>Niobrara National Scenic River</x:v>
      </x:c>
      <x:c r="F437" s="16" t="str">
        <x:v>Paddlers, families, nature lovers</x:v>
      </x:c>
      <x:c r="G437" s="16" t="str">
        <x:v>Canoeing, tubing, waterfalls, and canyon scenery create a standout outdoor stop.</x:v>
      </x:c>
      <x:c r="H437" s="16" t="str">
        <x:v>Nature</x:v>
      </x:c>
      <x:c r="I437" s="16" t="str">
        <x:v>https://www.google.com/search?q=Niobrara%20National%20Scenic%20River%20Valentine%20Nebraska%20official%20website</x:v>
      </x:c>
      <x:c r="J437" s="16" t="str">
        <x:v>https://www.google.com/search?q=site%3Avisitnebraska.com%20Niobrara%20National%20Scenic%20River</x:v>
      </x:c>
      <x:c r="K437" s="16" t="str">
        <x:v>https://www.google.com/search?q=Niobrara%20National%20Scenic%20River%20Valentine%20Nebraska%20visitor%20information</x:v>
      </x:c>
      <x:c r="L437" s="16" t="str">
        <x:v>https://www.google.com/search?q=Niobrara%20National%20Scenic%20River%20Valentine%20Nebraska%20photos</x:v>
      </x:c>
      <x:c r="M437" s="16" t="str">
        <x:v>https://www.google.com/search?q=Niobrara%20National%20Scenic%20River%20Valentine%20Nebraska%20wikipedia%20OR%20wikivoyage</x:v>
      </x:c>
      <x:c r="N437" s="16" t="str">
        <x:v>https://www.google.com/maps/search/?api=1&amp;query=Niobrara%20National%20Scenic%20River%2C%20Valentine%2C%20Nebraska</x:v>
      </x:c>
      <x:c r="O437" s="17" t="b">
        <x:v>1</x:v>
      </x:c>
      <x:c r="P437" s="16" t="b">
        <x:f>IFERROR(VLOOKUP(A437,States!$A$2:$B$18,2,FALSE),FALSE)</x:f>
        <x:v>1</x:v>
      </x:c>
      <x:c r="Q437" s="16" t="b">
        <x:f>AND(OR(O437=TRUE,O437="TRUE"),OR(P437=TRUE,P437="TRUE"))</x:f>
        <x:v>1</x:v>
      </x:c>
    </x:row>
    <x:row r="438">
      <x:c r="A438" s="16" t="str">
        <x:v>Nebraska</x:v>
      </x:c>
      <x:c r="B438" s="16" t="str">
        <x:v>Valentine</x:v>
      </x:c>
      <x:c r="C438" s="16" t="n">
        <x:v>-100.31</x:v>
      </x:c>
      <x:c r="D438" s="16" t="n">
        <x:v>42.899</x:v>
      </x:c>
      <x:c r="E438" s="16" t="str">
        <x:v>Smith Falls State Park</x:v>
      </x:c>
      <x:c r="F438" s="16" t="str">
        <x:v>Families, waterfall fans, paddlers</x:v>
      </x:c>
      <x:c r="G438" s="16" t="str">
        <x:v>Nebraska's tallest waterfall pairs naturally with a Niobrara River trip.</x:v>
      </x:c>
      <x:c r="H438" s="16" t="str">
        <x:v>Nature</x:v>
      </x:c>
      <x:c r="I438" s="16" t="str">
        <x:v>https://www.google.com/search?q=Smith%20Falls%20State%20Park%20Valentine%20Nebraska%20official%20website</x:v>
      </x:c>
      <x:c r="J438" s="16" t="str">
        <x:v>https://www.google.com/search?q=site%3Avisitnebraska.com%20Smith%20Falls%20State%20Park</x:v>
      </x:c>
      <x:c r="K438" s="16" t="str">
        <x:v>https://www.google.com/search?q=Smith%20Falls%20State%20Park%20Valentine%20Nebraska%20visitor%20information</x:v>
      </x:c>
      <x:c r="L438" s="16" t="str">
        <x:v>https://www.google.com/search?q=Smith%20Falls%20State%20Park%20Valentine%20Nebraska%20photos</x:v>
      </x:c>
      <x:c r="M438" s="16" t="str">
        <x:v>https://www.google.com/search?q=Smith%20Falls%20State%20Park%20Valentine%20Nebraska%20wikipedia%20OR%20wikivoyage</x:v>
      </x:c>
      <x:c r="N438" s="16" t="str">
        <x:v>https://www.google.com/maps/search/?api=1&amp;query=Smith%20Falls%20State%20Park%2C%20Valentine%2C%20Nebraska</x:v>
      </x:c>
      <x:c r="O438" s="17" t="b">
        <x:v>1</x:v>
      </x:c>
      <x:c r="P438" s="16" t="b">
        <x:f>IFERROR(VLOOKUP(A438,States!$A$2:$B$18,2,FALSE),FALSE)</x:f>
        <x:v>1</x:v>
      </x:c>
      <x:c r="Q438" s="16" t="b">
        <x:f>AND(OR(O438=TRUE,O438="TRUE"),OR(P438=TRUE,P438="TRUE"))</x:f>
        <x:v>1</x:v>
      </x:c>
    </x:row>
    <x:row r="439">
      <x:c r="A439" s="16" t="str">
        <x:v>Nebraska</x:v>
      </x:c>
      <x:c r="B439" s="16" t="str">
        <x:v>Alliance</x:v>
      </x:c>
      <x:c r="C439" s="16" t="n">
        <x:v>-102.858</x:v>
      </x:c>
      <x:c r="D439" s="16" t="n">
        <x:v>42.142</x:v>
      </x:c>
      <x:c r="E439" s="16" t="str">
        <x:v>Carhenge</x:v>
      </x:c>
      <x:c r="F439" s="16" t="str">
        <x:v>Road trippers, families, photographers</x:v>
      </x:c>
      <x:c r="G439" s="16" t="str">
        <x:v>A playful car-built Stonehenge replica is one of the Plains' great roadside icons.</x:v>
      </x:c>
      <x:c r="H439" s="16" t="str">
        <x:v>Roadside</x:v>
      </x:c>
      <x:c r="I439" s="16" t="str">
        <x:v>https://www.google.com/search?q=Carhenge%20Alliance%20Nebraska%20official%20website</x:v>
      </x:c>
      <x:c r="J439" s="16" t="str">
        <x:v>https://www.google.com/search?q=site%3Avisitnebraska.com%20Carhenge</x:v>
      </x:c>
      <x:c r="K439" s="16" t="str">
        <x:v>https://www.google.com/search?q=Carhenge%20Alliance%20Nebraska%20visitor%20information</x:v>
      </x:c>
      <x:c r="L439" s="16" t="str">
        <x:v>https://www.google.com/search?q=Carhenge%20Alliance%20Nebraska%20photos</x:v>
      </x:c>
      <x:c r="M439" s="16" t="str">
        <x:v>https://www.google.com/search?q=Carhenge%20Alliance%20Nebraska%20wikipedia%20OR%20wikivoyage</x:v>
      </x:c>
      <x:c r="N439" s="16" t="str">
        <x:v>https://www.google.com/maps/search/?api=1&amp;query=Carhenge%2C%20Alliance%2C%20Nebraska</x:v>
      </x:c>
      <x:c r="O439" s="17" t="b">
        <x:v>1</x:v>
      </x:c>
      <x:c r="P439" s="16" t="b">
        <x:f>IFERROR(VLOOKUP(A439,States!$A$2:$B$18,2,FALSE),FALSE)</x:f>
        <x:v>1</x:v>
      </x:c>
      <x:c r="Q439" s="16" t="b">
        <x:f>AND(OR(O439=TRUE,O439="TRUE"),OR(P439=TRUE,P439="TRUE"))</x:f>
        <x:v>1</x:v>
      </x:c>
    </x:row>
    <x:row r="440">
      <x:c r="A440" s="16" t="str">
        <x:v>Nebraska</x:v>
      </x:c>
      <x:c r="B440" s="16" t="str">
        <x:v>Mullen</x:v>
      </x:c>
      <x:c r="C440" s="16" t="n">
        <x:v>-101.064</x:v>
      </x:c>
      <x:c r="D440" s="16" t="n">
        <x:v>42.05</x:v>
      </x:c>
      <x:c r="E440" s="16" t="str">
        <x:v>Nebraska Sandhills</x:v>
      </x:c>
      <x:c r="F440" s="16" t="str">
        <x:v>Scenic drivers, birders, solitude seekers</x:v>
      </x:c>
      <x:c r="G440" s="16" t="str">
        <x:v>Rolling grass-stabilized dunes and open skies create a distinctive Great Plains landscape.</x:v>
      </x:c>
      <x:c r="H440" s="16" t="str">
        <x:v>Scenic Region</x:v>
      </x:c>
      <x:c r="I440" s="16" t="str">
        <x:v>https://www.google.com/search?q=Nebraska%20Sandhills%20Mullen%20Nebraska%20official%20website</x:v>
      </x:c>
      <x:c r="J440" s="16" t="str">
        <x:v>https://www.google.com/search?q=site%3Avisitnebraska.com%20Nebraska%20Sandhills</x:v>
      </x:c>
      <x:c r="K440" s="16" t="str">
        <x:v>https://www.google.com/search?q=Nebraska%20Sandhills%20Mullen%20Nebraska%20visitor%20information</x:v>
      </x:c>
      <x:c r="L440" s="16" t="str">
        <x:v>https://www.google.com/search?q=Nebraska%20Sandhills%20Mullen%20Nebraska%20photos</x:v>
      </x:c>
      <x:c r="M440" s="16" t="str">
        <x:v>https://www.google.com/search?q=Nebraska%20Sandhills%20Mullen%20Nebraska%20wikipedia%20OR%20wikivoyage</x:v>
      </x:c>
      <x:c r="N440" s="16" t="str">
        <x:v>https://www.google.com/maps/search/?api=1&amp;query=Nebraska%20Sandhills%2C%20Mullen%2C%20Nebraska</x:v>
      </x:c>
      <x:c r="O440" s="17" t="b">
        <x:v>1</x:v>
      </x:c>
      <x:c r="P440" s="16" t="b">
        <x:f>IFERROR(VLOOKUP(A440,States!$A$2:$B$18,2,FALSE),FALSE)</x:f>
        <x:v>1</x:v>
      </x:c>
      <x:c r="Q440" s="16" t="b">
        <x:f>AND(OR(O440=TRUE,O440="TRUE"),OR(P440=TRUE,P440="TRUE"))</x:f>
        <x:v>1</x:v>
      </x:c>
    </x:row>
    <x:row r="441">
      <x:c r="A441" s="16" t="str">
        <x:v>Nebraska</x:v>
      </x:c>
      <x:c r="B441" s="16" t="str">
        <x:v>Halsey</x:v>
      </x:c>
      <x:c r="C441" s="16" t="n">
        <x:v>-100.29</x:v>
      </x:c>
      <x:c r="D441" s="16" t="n">
        <x:v>41.902</x:v>
      </x:c>
      <x:c r="E441" s="16" t="str">
        <x:v>Nebraska National Forest at Halsey</x:v>
      </x:c>
      <x:c r="F441" s="16" t="str">
        <x:v>Campers, hikers, families</x:v>
      </x:c>
      <x:c r="G441" s="16" t="str">
        <x:v>Hand-planted pine forest rises unexpectedly amid Sandhills grassland.</x:v>
      </x:c>
      <x:c r="H441" s="16" t="str">
        <x:v>Nature</x:v>
      </x:c>
      <x:c r="I441" s="16" t="str">
        <x:v>https://www.google.com/search?q=Nebraska%20National%20Forest%20at%20Halsey%20Halsey%20Nebraska%20official%20website</x:v>
      </x:c>
      <x:c r="J441" s="16" t="str">
        <x:v>https://www.google.com/search?q=site%3Avisitnebraska.com%20Nebraska%20National%20Forest%20at%20Halsey</x:v>
      </x:c>
      <x:c r="K441" s="16" t="str">
        <x:v>https://www.google.com/search?q=Nebraska%20National%20Forest%20at%20Halsey%20Halsey%20Nebraska%20visitor%20information</x:v>
      </x:c>
      <x:c r="L441" s="16" t="str">
        <x:v>https://www.google.com/search?q=Nebraska%20National%20Forest%20at%20Halsey%20Halsey%20Nebraska%20photos</x:v>
      </x:c>
      <x:c r="M441" s="16" t="str">
        <x:v>https://www.google.com/search?q=Nebraska%20National%20Forest%20at%20Halsey%20Halsey%20Nebraska%20wikipedia%20OR%20wikivoyage</x:v>
      </x:c>
      <x:c r="N441" s="16" t="str">
        <x:v>https://www.google.com/maps/search/?api=1&amp;query=Nebraska%20National%20Forest%20at%20Halsey%2C%20Halsey%2C%20Nebraska</x:v>
      </x:c>
      <x:c r="O441" s="17" t="b">
        <x:v>1</x:v>
      </x:c>
      <x:c r="P441" s="16" t="b">
        <x:f>IFERROR(VLOOKUP(A441,States!$A$2:$B$18,2,FALSE),FALSE)</x:f>
        <x:v>1</x:v>
      </x:c>
      <x:c r="Q441" s="16" t="b">
        <x:f>AND(OR(O441=TRUE,O441="TRUE"),OR(P441=TRUE,P441="TRUE"))</x:f>
        <x:v>1</x:v>
      </x:c>
    </x:row>
    <x:row r="442">
      <x:c r="A442" s="16" t="str">
        <x:v>Nebraska</x:v>
      </x:c>
      <x:c r="B442" s="16" t="str">
        <x:v>Lincoln</x:v>
      </x:c>
      <x:c r="C442" s="16" t="n">
        <x:v>-96.699</x:v>
      </x:c>
      <x:c r="D442" s="16" t="n">
        <x:v>40.813</x:v>
      </x:c>
      <x:c r="E442" s="16" t="str">
        <x:v>Nebraska State Capitol</x:v>
      </x:c>
      <x:c r="F442" s="16" t="str">
        <x:v>Architecture fans, history travelers</x:v>
      </x:c>
      <x:c r="G442" s="16" t="str">
        <x:v>A landmark tower capitol combines mosaics, murals, observation views, and civic symbolism.</x:v>
      </x:c>
      <x:c r="H442" s="16" t="str">
        <x:v>Architecture</x:v>
      </x:c>
      <x:c r="I442" s="16" t="str">
        <x:v>https://www.google.com/search?q=Nebraska%20State%20Capitol%20Lincoln%20Nebraska%20official%20website</x:v>
      </x:c>
      <x:c r="J442" s="16" t="str">
        <x:v>https://www.google.com/search?q=site%3Avisitnebraska.com%20Nebraska%20State%20Capitol</x:v>
      </x:c>
      <x:c r="K442" s="16" t="str">
        <x:v>https://www.google.com/search?q=Nebraska%20State%20Capitol%20Lincoln%20Nebraska%20visitor%20information</x:v>
      </x:c>
      <x:c r="L442" s="16" t="str">
        <x:v>https://www.google.com/search?q=Nebraska%20State%20Capitol%20Lincoln%20Nebraska%20photos</x:v>
      </x:c>
      <x:c r="M442" s="16" t="str">
        <x:v>https://www.google.com/search?q=Nebraska%20State%20Capitol%20Lincoln%20Nebraska%20wikipedia%20OR%20wikivoyage</x:v>
      </x:c>
      <x:c r="N442" s="16" t="str">
        <x:v>https://www.google.com/maps/search/?api=1&amp;query=Nebraska%20State%20Capitol%2C%20Lincoln%2C%20Nebraska</x:v>
      </x:c>
      <x:c r="O442" s="17" t="b">
        <x:v>1</x:v>
      </x:c>
      <x:c r="P442" s="16" t="b">
        <x:f>IFERROR(VLOOKUP(A442,States!$A$2:$B$18,2,FALSE),FALSE)</x:f>
        <x:v>1</x:v>
      </x:c>
      <x:c r="Q442" s="16" t="b">
        <x:f>AND(OR(O442=TRUE,O442="TRUE"),OR(P442=TRUE,P442="TRUE"))</x:f>
        <x:v>1</x:v>
      </x:c>
    </x:row>
    <x:row r="443">
      <x:c r="A443" s="16" t="str">
        <x:v>Nebraska</x:v>
      </x:c>
      <x:c r="B443" s="16" t="str">
        <x:v>Lincoln</x:v>
      </x:c>
      <x:c r="C443" s="16" t="n">
        <x:v>-96.681</x:v>
      </x:c>
      <x:c r="D443" s="16" t="n">
        <x:v>40.814</x:v>
      </x:c>
      <x:c r="E443" s="16" t="str">
        <x:v>Sunken Gardens</x:v>
      </x:c>
      <x:c r="F443" s="16" t="str">
        <x:v>Garden lovers, families, photographers</x:v>
      </x:c>
      <x:c r="G443" s="16" t="str">
        <x:v>Formal gardens and seasonal plantings make a peaceful city stop.</x:v>
      </x:c>
      <x:c r="H443" s="16" t="str">
        <x:v>Garden</x:v>
      </x:c>
      <x:c r="I443" s="16" t="str">
        <x:v>https://www.google.com/search?q=Sunken%20Gardens%20Lincoln%20Nebraska%20official%20website</x:v>
      </x:c>
      <x:c r="J443" s="16" t="str">
        <x:v>https://www.google.com/search?q=site%3Avisitnebraska.com%20Sunken%20Gardens</x:v>
      </x:c>
      <x:c r="K443" s="16" t="str">
        <x:v>https://www.google.com/search?q=Sunken%20Gardens%20Lincoln%20Nebraska%20visitor%20information</x:v>
      </x:c>
      <x:c r="L443" s="16" t="str">
        <x:v>https://www.google.com/search?q=Sunken%20Gardens%20Lincoln%20Nebraska%20photos</x:v>
      </x:c>
      <x:c r="M443" s="16" t="str">
        <x:v>https://www.google.com/search?q=Sunken%20Gardens%20Lincoln%20Nebraska%20wikipedia%20OR%20wikivoyage</x:v>
      </x:c>
      <x:c r="N443" s="16" t="str">
        <x:v>https://www.google.com/maps/search/?api=1&amp;query=Sunken%20Gardens%2C%20Lincoln%2C%20Nebraska</x:v>
      </x:c>
      <x:c r="O443" s="17" t="b">
        <x:v>1</x:v>
      </x:c>
      <x:c r="P443" s="16" t="b">
        <x:f>IFERROR(VLOOKUP(A443,States!$A$2:$B$18,2,FALSE),FALSE)</x:f>
        <x:v>1</x:v>
      </x:c>
      <x:c r="Q443" s="16" t="b">
        <x:f>AND(OR(O443=TRUE,O443="TRUE"),OR(P443=TRUE,P443="TRUE"))</x:f>
        <x:v>1</x:v>
      </x:c>
    </x:row>
    <x:row r="444">
      <x:c r="A444" s="16" t="str">
        <x:v>Nebraska</x:v>
      </x:c>
      <x:c r="B444" s="16" t="str">
        <x:v>Lincoln</x:v>
      </x:c>
      <x:c r="C444" s="16" t="n">
        <x:v>-96.699</x:v>
      </x:c>
      <x:c r="D444" s="16" t="n">
        <x:v>40.817</x:v>
      </x:c>
      <x:c r="E444" s="16" t="str">
        <x:v>International Quilt Museum</x:v>
      </x:c>
      <x:c r="F444" s="16" t="str">
        <x:v>Art lovers, design travelers</x:v>
      </x:c>
      <x:c r="G444" s="16" t="str">
        <x:v>A globally important quilt collection connects textile art, craft, and culture.</x:v>
      </x:c>
      <x:c r="H444" s="16" t="str">
        <x:v>Museum</x:v>
      </x:c>
      <x:c r="I444" s="16" t="str">
        <x:v>https://www.google.com/search?q=International%20Quilt%20Museum%20Lincoln%20Nebraska%20official%20website</x:v>
      </x:c>
      <x:c r="J444" s="16" t="str">
        <x:v>https://www.google.com/search?q=site%3Avisitnebraska.com%20International%20Quilt%20Museum</x:v>
      </x:c>
      <x:c r="K444" s="16" t="str">
        <x:v>https://www.google.com/search?q=International%20Quilt%20Museum%20Lincoln%20Nebraska%20visitor%20information</x:v>
      </x:c>
      <x:c r="L444" s="16" t="str">
        <x:v>https://www.google.com/search?q=International%20Quilt%20Museum%20Lincoln%20Nebraska%20photos</x:v>
      </x:c>
      <x:c r="M444" s="16" t="str">
        <x:v>https://www.google.com/search?q=International%20Quilt%20Museum%20Lincoln%20Nebraska%20wikipedia%20OR%20wikivoyage</x:v>
      </x:c>
      <x:c r="N444" s="16" t="str">
        <x:v>https://www.google.com/maps/search/?api=1&amp;query=International%20Quilt%20Museum%2C%20Lincoln%2C%20Nebraska</x:v>
      </x:c>
      <x:c r="O444" s="17" t="b">
        <x:v>1</x:v>
      </x:c>
      <x:c r="P444" s="16" t="b">
        <x:f>IFERROR(VLOOKUP(A444,States!$A$2:$B$18,2,FALSE),FALSE)</x:f>
        <x:v>1</x:v>
      </x:c>
      <x:c r="Q444" s="16" t="b">
        <x:f>AND(OR(O444=TRUE,O444="TRUE"),OR(P444=TRUE,P444="TRUE"))</x:f>
        <x:v>1</x:v>
      </x:c>
    </x:row>
    <x:row r="445">
      <x:c r="A445" s="16" t="str">
        <x:v>Nebraska</x:v>
      </x:c>
      <x:c r="B445" s="16" t="str">
        <x:v>Omaha</x:v>
      </x:c>
      <x:c r="C445" s="16" t="n">
        <x:v>-95.937</x:v>
      </x:c>
      <x:c r="D445" s="16" t="n">
        <x:v>41.252</x:v>
      </x:c>
      <x:c r="E445" s="16" t="str">
        <x:v>The Durham Museum</x:v>
      </x:c>
      <x:c r="F445" s="16" t="str">
        <x:v>History fans, families, architecture fans</x:v>
      </x:c>
      <x:c r="G445" s="16" t="str">
        <x:v>A grand Art Deco train station houses regional history and rail exhibits.</x:v>
      </x:c>
      <x:c r="H445" s="16" t="str">
        <x:v>Museum</x:v>
      </x:c>
      <x:c r="I445" s="16" t="str">
        <x:v>https://www.google.com/search?q=The%20Durham%20Museum%20Omaha%20Nebraska%20official%20website</x:v>
      </x:c>
      <x:c r="J445" s="16" t="str">
        <x:v>https://www.google.com/search?q=site%3Avisitnebraska.com%20The%20Durham%20Museum</x:v>
      </x:c>
      <x:c r="K445" s="16" t="str">
        <x:v>https://www.google.com/search?q=The%20Durham%20Museum%20Omaha%20Nebraska%20visitor%20information</x:v>
      </x:c>
      <x:c r="L445" s="16" t="str">
        <x:v>https://www.google.com/search?q=The%20Durham%20Museum%20Omaha%20Nebraska%20photos</x:v>
      </x:c>
      <x:c r="M445" s="16" t="str">
        <x:v>https://www.google.com/search?q=The%20Durham%20Museum%20Omaha%20Nebraska%20wikipedia%20OR%20wikivoyage</x:v>
      </x:c>
      <x:c r="N445" s="16" t="str">
        <x:v>https://www.google.com/maps/search/?api=1&amp;query=The%20Durham%20Museum%2C%20Omaha%2C%20Nebraska</x:v>
      </x:c>
      <x:c r="O445" s="17" t="b">
        <x:v>1</x:v>
      </x:c>
      <x:c r="P445" s="16" t="b">
        <x:f>IFERROR(VLOOKUP(A445,States!$A$2:$B$18,2,FALSE),FALSE)</x:f>
        <x:v>1</x:v>
      </x:c>
      <x:c r="Q445" s="16" t="b">
        <x:f>AND(OR(O445=TRUE,O445="TRUE"),OR(P445=TRUE,P445="TRUE"))</x:f>
        <x:v>1</x:v>
      </x:c>
    </x:row>
    <x:row r="446">
      <x:c r="A446" s="16" t="str">
        <x:v>Nebraska</x:v>
      </x:c>
      <x:c r="B446" s="16" t="str">
        <x:v>Omaha</x:v>
      </x:c>
      <x:c r="C446" s="16" t="n">
        <x:v>-95.932</x:v>
      </x:c>
      <x:c r="D446" s="16" t="n">
        <x:v>41.257</x:v>
      </x:c>
      <x:c r="E446" s="16" t="str">
        <x:v>Old Market Historic District</x:v>
      </x:c>
      <x:c r="F446" s="16" t="str">
        <x:v>Food lovers, shoppers, city explorers</x:v>
      </x:c>
      <x:c r="G446" s="16" t="str">
        <x:v>Brick streets, restaurants, galleries, and nightlife anchor downtown Omaha.</x:v>
      </x:c>
      <x:c r="H446" s="16" t="str">
        <x:v>Scenic Town</x:v>
      </x:c>
      <x:c r="I446" s="16" t="str">
        <x:v>https://www.google.com/search?q=Old%20Market%20Historic%20District%20Omaha%20Nebraska%20official%20website</x:v>
      </x:c>
      <x:c r="J446" s="16" t="str">
        <x:v>https://www.google.com/search?q=site%3Avisitnebraska.com%20Old%20Market%20Historic%20District</x:v>
      </x:c>
      <x:c r="K446" s="16" t="str">
        <x:v>https://www.google.com/search?q=Old%20Market%20Historic%20District%20Omaha%20Nebraska%20visitor%20information</x:v>
      </x:c>
      <x:c r="L446" s="16" t="str">
        <x:v>https://www.google.com/search?q=Old%20Market%20Historic%20District%20Omaha%20Nebraska%20photos</x:v>
      </x:c>
      <x:c r="M446" s="16" t="str">
        <x:v>https://www.google.com/search?q=Old%20Market%20Historic%20District%20Omaha%20Nebraska%20wikipedia%20OR%20wikivoyage</x:v>
      </x:c>
      <x:c r="N446" s="16" t="str">
        <x:v>https://www.google.com/maps/search/?api=1&amp;query=Old%20Market%20Historic%20District%2C%20Omaha%2C%20Nebraska</x:v>
      </x:c>
      <x:c r="O446" s="17" t="b">
        <x:v>1</x:v>
      </x:c>
      <x:c r="P446" s="16" t="b">
        <x:f>IFERROR(VLOOKUP(A446,States!$A$2:$B$18,2,FALSE),FALSE)</x:f>
        <x:v>1</x:v>
      </x:c>
      <x:c r="Q446" s="16" t="b">
        <x:f>AND(OR(O446=TRUE,O446="TRUE"),OR(P446=TRUE,P446="TRUE"))</x:f>
        <x:v>1</x:v>
      </x:c>
    </x:row>
    <x:row r="447">
      <x:c r="A447" s="16" t="str">
        <x:v>Nebraska</x:v>
      </x:c>
      <x:c r="B447" s="16" t="str">
        <x:v>Omaha</x:v>
      </x:c>
      <x:c r="C447" s="16" t="n">
        <x:v>-95.927</x:v>
      </x:c>
      <x:c r="D447" s="16" t="n">
        <x:v>41.262</x:v>
      </x:c>
      <x:c r="E447" s="16" t="str">
        <x:v>Bob Kerrey Pedestrian Bridge</x:v>
      </x:c>
      <x:c r="F447" s="16" t="str">
        <x:v>Walkers, families, photographers</x:v>
      </x:c>
      <x:c r="G447" s="16" t="str">
        <x:v>A curving bridge lets visitors stand over the Missouri River and state line.</x:v>
      </x:c>
      <x:c r="H447" s="16" t="str">
        <x:v>Landmark</x:v>
      </x:c>
      <x:c r="I447" s="16" t="str">
        <x:v>https://www.google.com/search?q=Bob%20Kerrey%20Pedestrian%20Bridge%20Omaha%20Nebraska%20official%20website</x:v>
      </x:c>
      <x:c r="J447" s="16" t="str">
        <x:v>https://www.google.com/search?q=site%3Avisitnebraska.com%20Bob%20Kerrey%20Pedestrian%20Bridge</x:v>
      </x:c>
      <x:c r="K447" s="16" t="str">
        <x:v>https://www.google.com/search?q=Bob%20Kerrey%20Pedestrian%20Bridge%20Omaha%20Nebraska%20visitor%20information</x:v>
      </x:c>
      <x:c r="L447" s="16" t="str">
        <x:v>https://www.google.com/search?q=Bob%20Kerrey%20Pedestrian%20Bridge%20Omaha%20Nebraska%20photos</x:v>
      </x:c>
      <x:c r="M447" s="16" t="str">
        <x:v>https://www.google.com/search?q=Bob%20Kerrey%20Pedestrian%20Bridge%20Omaha%20Nebraska%20wikipedia%20OR%20wikivoyage</x:v>
      </x:c>
      <x:c r="N447" s="16" t="str">
        <x:v>https://www.google.com/maps/search/?api=1&amp;query=Bob%20Kerrey%20Pedestrian%20Bridge%2C%20Omaha%2C%20Nebraska</x:v>
      </x:c>
      <x:c r="O447" s="17" t="b">
        <x:v>1</x:v>
      </x:c>
      <x:c r="P447" s="16" t="b">
        <x:f>IFERROR(VLOOKUP(A447,States!$A$2:$B$18,2,FALSE),FALSE)</x:f>
        <x:v>1</x:v>
      </x:c>
      <x:c r="Q447" s="16" t="b">
        <x:f>AND(OR(O447=TRUE,O447="TRUE"),OR(P447=TRUE,P447="TRUE"))</x:f>
        <x:v>1</x:v>
      </x:c>
    </x:row>
    <x:row r="448">
      <x:c r="A448" s="16" t="str">
        <x:v>Nebraska</x:v>
      </x:c>
      <x:c r="B448" s="16" t="str">
        <x:v>Omaha</x:v>
      </x:c>
      <x:c r="C448" s="16" t="n">
        <x:v>-95.942</x:v>
      </x:c>
      <x:c r="D448" s="16" t="n">
        <x:v>41.26</x:v>
      </x:c>
      <x:c r="E448" s="16" t="str">
        <x:v>Joslyn Art Museum</x:v>
      </x:c>
      <x:c r="F448" s="16" t="str">
        <x:v>Art lovers, architecture fans</x:v>
      </x:c>
      <x:c r="G448" s="16" t="str">
        <x:v>An Art Deco building and broad collections make Omaha's major art stop.</x:v>
      </x:c>
      <x:c r="H448" s="16" t="str">
        <x:v>Museum</x:v>
      </x:c>
      <x:c r="I448" s="16" t="str">
        <x:v>https://www.google.com/search?q=Joslyn%20Art%20Museum%20Omaha%20Nebraska%20official%20website</x:v>
      </x:c>
      <x:c r="J448" s="16" t="str">
        <x:v>https://www.google.com/search?q=site%3Avisitnebraska.com%20Joslyn%20Art%20Museum</x:v>
      </x:c>
      <x:c r="K448" s="16" t="str">
        <x:v>https://www.google.com/search?q=Joslyn%20Art%20Museum%20Omaha%20Nebraska%20visitor%20information</x:v>
      </x:c>
      <x:c r="L448" s="16" t="str">
        <x:v>https://www.google.com/search?q=Joslyn%20Art%20Museum%20Omaha%20Nebraska%20photos</x:v>
      </x:c>
      <x:c r="M448" s="16" t="str">
        <x:v>https://www.google.com/search?q=Joslyn%20Art%20Museum%20Omaha%20Nebraska%20wikipedia%20OR%20wikivoyage</x:v>
      </x:c>
      <x:c r="N448" s="16" t="str">
        <x:v>https://www.google.com/maps/search/?api=1&amp;query=Joslyn%20Art%20Museum%2C%20Omaha%2C%20Nebraska</x:v>
      </x:c>
      <x:c r="O448" s="17" t="b">
        <x:v>1</x:v>
      </x:c>
      <x:c r="P448" s="16" t="b">
        <x:f>IFERROR(VLOOKUP(A448,States!$A$2:$B$18,2,FALSE),FALSE)</x:f>
        <x:v>1</x:v>
      </x:c>
      <x:c r="Q448" s="16" t="b">
        <x:f>AND(OR(O448=TRUE,O448="TRUE"),OR(P448=TRUE,P448="TRUE"))</x:f>
        <x:v>1</x:v>
      </x:c>
    </x:row>
    <x:row r="449">
      <x:c r="A449" s="16" t="str">
        <x:v>Nebraska</x:v>
      </x:c>
      <x:c r="B449" s="16" t="str">
        <x:v>Kearney</x:v>
      </x:c>
      <x:c r="C449" s="16" t="n">
        <x:v>-98.999</x:v>
      </x:c>
      <x:c r="D449" s="16" t="n">
        <x:v>40.666</x:v>
      </x:c>
      <x:c r="E449" s="16" t="str">
        <x:v>The Archway</x:v>
      </x:c>
      <x:c r="F449" s="16" t="str">
        <x:v>Road trippers, families</x:v>
      </x:c>
      <x:c r="G449" s="16" t="str">
        <x:v>An immersive museum spans I-80 and tells Great Platte River Road migration stories.</x:v>
      </x:c>
      <x:c r="H449" s="16" t="str">
        <x:v>Museum</x:v>
      </x:c>
      <x:c r="I449" s="16" t="str">
        <x:v>https://www.google.com/search?q=The%20Archway%20Kearney%20Nebraska%20official%20website</x:v>
      </x:c>
      <x:c r="J449" s="16" t="str">
        <x:v>https://www.google.com/search?q=site%3Avisitnebraska.com%20The%20Archway</x:v>
      </x:c>
      <x:c r="K449" s="16" t="str">
        <x:v>https://www.google.com/search?q=The%20Archway%20Kearney%20Nebraska%20visitor%20information</x:v>
      </x:c>
      <x:c r="L449" s="16" t="str">
        <x:v>https://www.google.com/search?q=The%20Archway%20Kearney%20Nebraska%20photos</x:v>
      </x:c>
      <x:c r="M449" s="16" t="str">
        <x:v>https://www.google.com/search?q=The%20Archway%20Kearney%20Nebraska%20wikipedia%20OR%20wikivoyage</x:v>
      </x:c>
      <x:c r="N449" s="16" t="str">
        <x:v>https://www.google.com/maps/search/?api=1&amp;query=The%20Archway%2C%20Kearney%2C%20Nebraska</x:v>
      </x:c>
      <x:c r="O449" s="17" t="b">
        <x:v>1</x:v>
      </x:c>
      <x:c r="P449" s="16" t="b">
        <x:f>IFERROR(VLOOKUP(A449,States!$A$2:$B$18,2,FALSE),FALSE)</x:f>
        <x:v>1</x:v>
      </x:c>
      <x:c r="Q449" s="16" t="b">
        <x:f>AND(OR(O449=TRUE,O449="TRUE"),OR(P449=TRUE,P449="TRUE"))</x:f>
        <x:v>1</x:v>
      </x:c>
    </x:row>
    <x:row r="450">
      <x:c r="A450" s="16" t="str">
        <x:v>Nebraska</x:v>
      </x:c>
      <x:c r="B450" s="16" t="str">
        <x:v>Kearney</x:v>
      </x:c>
      <x:c r="C450" s="16" t="n">
        <x:v>-99.081</x:v>
      </x:c>
      <x:c r="D450" s="16" t="n">
        <x:v>40.665</x:v>
      </x:c>
      <x:c r="E450" s="16" t="str">
        <x:v>Fort Kearny State Historical Park</x:v>
      </x:c>
      <x:c r="F450" s="16" t="str">
        <x:v>History travelers, families</x:v>
      </x:c>
      <x:c r="G450" s="16" t="str">
        <x:v>A reconstructed frontier post anchors Oregon Trail and military history.</x:v>
      </x:c>
      <x:c r="H450" s="16" t="str">
        <x:v>Historic Site</x:v>
      </x:c>
      <x:c r="I450" s="16" t="str">
        <x:v>https://www.google.com/search?q=Fort%20Kearny%20State%20Historical%20Park%20Kearney%20Nebraska%20official%20website</x:v>
      </x:c>
      <x:c r="J450" s="16" t="str">
        <x:v>https://www.google.com/search?q=site%3Avisitnebraska.com%20Fort%20Kearny%20State%20Historical%20Park</x:v>
      </x:c>
      <x:c r="K450" s="16" t="str">
        <x:v>https://www.google.com/search?q=Fort%20Kearny%20State%20Historical%20Park%20Kearney%20Nebraska%20visitor%20information</x:v>
      </x:c>
      <x:c r="L450" s="16" t="str">
        <x:v>https://www.google.com/search?q=Fort%20Kearny%20State%20Historical%20Park%20Kearney%20Nebraska%20photos</x:v>
      </x:c>
      <x:c r="M450" s="16" t="str">
        <x:v>https://www.google.com/search?q=Fort%20Kearny%20State%20Historical%20Park%20Kearney%20Nebraska%20wikipedia%20OR%20wikivoyage</x:v>
      </x:c>
      <x:c r="N450" s="16" t="str">
        <x:v>https://www.google.com/maps/search/?api=1&amp;query=Fort%20Kearny%20State%20Historical%20Park%2C%20Kearney%2C%20Nebraska</x:v>
      </x:c>
      <x:c r="O450" s="17" t="b">
        <x:v>1</x:v>
      </x:c>
      <x:c r="P450" s="16" t="b">
        <x:f>IFERROR(VLOOKUP(A450,States!$A$2:$B$18,2,FALSE),FALSE)</x:f>
        <x:v>1</x:v>
      </x:c>
      <x:c r="Q450" s="16" t="b">
        <x:f>AND(OR(O450=TRUE,O450="TRUE"),OR(P450=TRUE,P450="TRUE"))</x:f>
        <x:v>1</x:v>
      </x:c>
    </x:row>
    <x:row r="451">
      <x:c r="A451" s="16" t="str">
        <x:v>Nebraska</x:v>
      </x:c>
      <x:c r="B451" s="16" t="str">
        <x:v>Gibbon</x:v>
      </x:c>
      <x:c r="C451" s="16" t="n">
        <x:v>-98.909</x:v>
      </x:c>
      <x:c r="D451" s="16" t="n">
        <x:v>40.666</x:v>
      </x:c>
      <x:c r="E451" s="16" t="str">
        <x:v>Rowe Sanctuary</x:v>
      </x:c>
      <x:c r="F451" s="16" t="str">
        <x:v>Birders, photographers, families</x:v>
      </x:c>
      <x:c r="G451" s="16" t="str">
        <x:v>Spring sandhill crane migration makes the Platte River a world-class wildlife spectacle.</x:v>
      </x:c>
      <x:c r="H451" s="16" t="str">
        <x:v>Wildlife</x:v>
      </x:c>
      <x:c r="I451" s="16" t="str">
        <x:v>https://www.google.com/search?q=Rowe%20Sanctuary%20Gibbon%20Nebraska%20official%20website</x:v>
      </x:c>
      <x:c r="J451" s="16" t="str">
        <x:v>https://www.google.com/search?q=site%3Avisitnebraska.com%20Rowe%20Sanctuary</x:v>
      </x:c>
      <x:c r="K451" s="16" t="str">
        <x:v>https://www.google.com/search?q=Rowe%20Sanctuary%20Gibbon%20Nebraska%20visitor%20information</x:v>
      </x:c>
      <x:c r="L451" s="16" t="str">
        <x:v>https://www.google.com/search?q=Rowe%20Sanctuary%20Gibbon%20Nebraska%20photos</x:v>
      </x:c>
      <x:c r="M451" s="16" t="str">
        <x:v>https://www.google.com/search?q=Rowe%20Sanctuary%20Gibbon%20Nebraska%20wikipedia%20OR%20wikivoyage</x:v>
      </x:c>
      <x:c r="N451" s="16" t="str">
        <x:v>https://www.google.com/maps/search/?api=1&amp;query=Rowe%20Sanctuary%2C%20Gibbon%2C%20Nebraska</x:v>
      </x:c>
      <x:c r="O451" s="17" t="b">
        <x:v>1</x:v>
      </x:c>
      <x:c r="P451" s="16" t="b">
        <x:f>IFERROR(VLOOKUP(A451,States!$A$2:$B$18,2,FALSE),FALSE)</x:f>
        <x:v>1</x:v>
      </x:c>
      <x:c r="Q451" s="16" t="b">
        <x:f>AND(OR(O451=TRUE,O451="TRUE"),OR(P451=TRUE,P451="TRUE"))</x:f>
        <x:v>1</x:v>
      </x:c>
    </x:row>
    <x:row r="452">
      <x:c r="A452" s="16" t="str">
        <x:v>Nebraska</x:v>
      </x:c>
      <x:c r="B452" s="16" t="str">
        <x:v>Beatrice</x:v>
      </x:c>
      <x:c r="C452" s="16" t="n">
        <x:v>-96.833</x:v>
      </x:c>
      <x:c r="D452" s="16" t="n">
        <x:v>40.289</x:v>
      </x:c>
      <x:c r="E452" s="16" t="str">
        <x:v>Homestead National Historical Park</x:v>
      </x:c>
      <x:c r="F452" s="16" t="str">
        <x:v>History travelers, students, families</x:v>
      </x:c>
      <x:c r="G452" s="16" t="str">
        <x:v>Prairie, cabins, and exhibits interpret the Homestead Act's legacy.</x:v>
      </x:c>
      <x:c r="H452" s="16" t="str">
        <x:v>National Park</x:v>
      </x:c>
      <x:c r="I452" s="16" t="str">
        <x:v>https://www.google.com/search?q=Homestead%20National%20Historical%20Park%20Beatrice%20Nebraska%20official%20website</x:v>
      </x:c>
      <x:c r="J452" s="16" t="str">
        <x:v>https://www.google.com/search?q=site%3Avisitnebraska.com%20Homestead%20National%20Historical%20Park</x:v>
      </x:c>
      <x:c r="K452" s="16" t="str">
        <x:v>https://www.google.com/search?q=Homestead%20National%20Historical%20Park%20Beatrice%20Nebraska%20visitor%20information</x:v>
      </x:c>
      <x:c r="L452" s="16" t="str">
        <x:v>https://www.google.com/search?q=Homestead%20National%20Historical%20Park%20Beatrice%20Nebraska%20photos</x:v>
      </x:c>
      <x:c r="M452" s="16" t="str">
        <x:v>https://www.google.com/search?q=site%3Anps.gov%20Homestead%20National%20Historical%20Park</x:v>
      </x:c>
      <x:c r="N452" s="16" t="str">
        <x:v>https://www.google.com/maps/search/?api=1&amp;query=Homestead%20National%20Historical%20Park%2C%20Beatrice%2C%20Nebraska</x:v>
      </x:c>
      <x:c r="O452" s="17" t="b">
        <x:v>1</x:v>
      </x:c>
      <x:c r="P452" s="16" t="b">
        <x:f>IFERROR(VLOOKUP(A452,States!$A$2:$B$18,2,FALSE),FALSE)</x:f>
        <x:v>1</x:v>
      </x:c>
      <x:c r="Q452" s="16" t="b">
        <x:f>AND(OR(O452=TRUE,O452="TRUE"),OR(P452=TRUE,P452="TRUE"))</x:f>
        <x:v>1</x:v>
      </x:c>
    </x:row>
    <x:row r="453">
      <x:c r="A453" s="16" t="str">
        <x:v>Nebraska</x:v>
      </x:c>
      <x:c r="B453" s="16" t="str">
        <x:v>North Platte</x:v>
      </x:c>
      <x:c r="C453" s="16" t="n">
        <x:v>-100.767</x:v>
      </x:c>
      <x:c r="D453" s="16" t="n">
        <x:v>41.127</x:v>
      </x:c>
      <x:c r="E453" s="16" t="str">
        <x:v>Buffalo Bill Ranch State Historical Park</x:v>
      </x:c>
      <x:c r="F453" s="16" t="str">
        <x:v>Western-history fans, families</x:v>
      </x:c>
      <x:c r="G453" s="16" t="str">
        <x:v>Cody's ranch home connects showmanship, ranching, and frontier mythology.</x:v>
      </x:c>
      <x:c r="H453" s="16" t="str">
        <x:v>Historic Site</x:v>
      </x:c>
      <x:c r="I453" s="16" t="str">
        <x:v>https://www.google.com/search?q=Buffalo%20Bill%20Ranch%20State%20Historical%20Park%20North%20Platte%20Nebraska%20official%20website</x:v>
      </x:c>
      <x:c r="J453" s="16" t="str">
        <x:v>https://www.google.com/search?q=site%3Avisitnebraska.com%20Buffalo%20Bill%20Ranch%20State%20Historical%20Park</x:v>
      </x:c>
      <x:c r="K453" s="16" t="str">
        <x:v>https://www.google.com/search?q=Buffalo%20Bill%20Ranch%20State%20Historical%20Park%20North%20Platte%20Nebraska%20visitor%20information</x:v>
      </x:c>
      <x:c r="L453" s="16" t="str">
        <x:v>https://www.google.com/search?q=Buffalo%20Bill%20Ranch%20State%20Historical%20Park%20North%20Platte%20Nebraska%20photos</x:v>
      </x:c>
      <x:c r="M453" s="16" t="str">
        <x:v>https://www.google.com/search?q=Buffalo%20Bill%20Ranch%20State%20Historical%20Park%20North%20Platte%20Nebraska%20wikipedia%20OR%20wikivoyage</x:v>
      </x:c>
      <x:c r="N453" s="16" t="str">
        <x:v>https://www.google.com/maps/search/?api=1&amp;query=Buffalo%20Bill%20Ranch%20State%20Historical%20Park%2C%20North%20Platte%2C%20Nebraska</x:v>
      </x:c>
      <x:c r="O453" s="17" t="b">
        <x:v>1</x:v>
      </x:c>
      <x:c r="P453" s="16" t="b">
        <x:f>IFERROR(VLOOKUP(A453,States!$A$2:$B$18,2,FALSE),FALSE)</x:f>
        <x:v>1</x:v>
      </x:c>
      <x:c r="Q453" s="16" t="b">
        <x:f>AND(OR(O453=TRUE,O453="TRUE"),OR(P453=TRUE,P453="TRUE"))</x:f>
        <x:v>1</x:v>
      </x:c>
    </x:row>
    <x:row r="454">
      <x:c r="A454" s="16" t="str">
        <x:v>Nebraska</x:v>
      </x:c>
      <x:c r="B454" s="16" t="str">
        <x:v>North Platte</x:v>
      </x:c>
      <x:c r="C454" s="16" t="n">
        <x:v>-100.831</x:v>
      </x:c>
      <x:c r="D454" s="16" t="n">
        <x:v>41.152</x:v>
      </x:c>
      <x:c r="E454" s="16" t="str">
        <x:v>Golden Spike Tower and Bailey Yard</x:v>
      </x:c>
      <x:c r="F454" s="16" t="str">
        <x:v>Train fans, families</x:v>
      </x:c>
      <x:c r="G454" s="16" t="str">
        <x:v>Observation decks overlook one of the world's largest railroad classification yards.</x:v>
      </x:c>
      <x:c r="H454" s="16" t="str">
        <x:v>Observation</x:v>
      </x:c>
      <x:c r="I454" s="16" t="str">
        <x:v>https://www.google.com/search?q=Golden%20Spike%20Tower%20and%20Bailey%20Yard%20North%20Platte%20Nebraska%20official%20website</x:v>
      </x:c>
      <x:c r="J454" s="16" t="str">
        <x:v>https://www.google.com/search?q=site%3Avisitnebraska.com%20Golden%20Spike%20Tower%20and%20Bailey%20Yard</x:v>
      </x:c>
      <x:c r="K454" s="16" t="str">
        <x:v>https://www.google.com/search?q=Golden%20Spike%20Tower%20and%20Bailey%20Yard%20North%20Platte%20Nebraska%20visitor%20information</x:v>
      </x:c>
      <x:c r="L454" s="16" t="str">
        <x:v>https://www.google.com/search?q=Golden%20Spike%20Tower%20and%20Bailey%20Yard%20North%20Platte%20Nebraska%20photos</x:v>
      </x:c>
      <x:c r="M454" s="16" t="str">
        <x:v>https://www.google.com/search?q=Golden%20Spike%20Tower%20and%20Bailey%20Yard%20North%20Platte%20Nebraska%20wikipedia%20OR%20wikivoyage</x:v>
      </x:c>
      <x:c r="N454" s="16" t="str">
        <x:v>https://www.google.com/maps/search/?api=1&amp;query=Golden%20Spike%20Tower%20and%20Bailey%20Yard%2C%20North%20Platte%2C%20Nebraska</x:v>
      </x:c>
      <x:c r="O454" s="17" t="b">
        <x:v>1</x:v>
      </x:c>
      <x:c r="P454" s="16" t="b">
        <x:f>IFERROR(VLOOKUP(A454,States!$A$2:$B$18,2,FALSE),FALSE)</x:f>
        <x:v>1</x:v>
      </x:c>
      <x:c r="Q454" s="16" t="b">
        <x:f>AND(OR(O454=TRUE,O454="TRUE"),OR(P454=TRUE,P454="TRUE"))</x:f>
        <x:v>1</x:v>
      </x:c>
    </x:row>
    <x:row r="455">
      <x:c r="A455" s="16" t="str">
        <x:v>Nebraska</x:v>
      </x:c>
      <x:c r="B455" s="16" t="str">
        <x:v>Ogallala</x:v>
      </x:c>
      <x:c r="C455" s="16" t="n">
        <x:v>-101.718</x:v>
      </x:c>
      <x:c r="D455" s="16" t="n">
        <x:v>41.21</x:v>
      </x:c>
      <x:c r="E455" s="16" t="str">
        <x:v>Lake McConaughy</x:v>
      </x:c>
      <x:c r="F455" s="16" t="str">
        <x:v>Beachgoers, boaters, families</x:v>
      </x:c>
      <x:c r="G455" s="16" t="str">
        <x:v>White sand beaches and big-water recreation create Nebraska's largest reservoir getaway.</x:v>
      </x:c>
      <x:c r="H455" s="16" t="str">
        <x:v>Waterfront</x:v>
      </x:c>
      <x:c r="I455" s="16" t="str">
        <x:v>https://www.google.com/search?q=Lake%20McConaughy%20Ogallala%20Nebraska%20official%20website</x:v>
      </x:c>
      <x:c r="J455" s="16" t="str">
        <x:v>https://www.google.com/search?q=site%3Avisitnebraska.com%20Lake%20McConaughy</x:v>
      </x:c>
      <x:c r="K455" s="16" t="str">
        <x:v>https://www.google.com/search?q=Lake%20McConaughy%20Ogallala%20Nebraska%20visitor%20information</x:v>
      </x:c>
      <x:c r="L455" s="16" t="str">
        <x:v>https://www.google.com/search?q=Lake%20McConaughy%20Ogallala%20Nebraska%20photos</x:v>
      </x:c>
      <x:c r="M455" s="16" t="str">
        <x:v>https://www.google.com/search?q=Lake%20McConaughy%20Ogallala%20Nebraska%20wikipedia%20OR%20wikivoyage</x:v>
      </x:c>
      <x:c r="N455" s="16" t="str">
        <x:v>https://www.google.com/maps/search/?api=1&amp;query=Lake%20McConaughy%2C%20Ogallala%2C%20Nebraska</x:v>
      </x:c>
      <x:c r="O455" s="17" t="b">
        <x:v>1</x:v>
      </x:c>
      <x:c r="P455" s="16" t="b">
        <x:f>IFERROR(VLOOKUP(A455,States!$A$2:$B$18,2,FALSE),FALSE)</x:f>
        <x:v>1</x:v>
      </x:c>
      <x:c r="Q455" s="16" t="b">
        <x:f>AND(OR(O455=TRUE,O455="TRUE"),OR(P455=TRUE,P455="TRUE"))</x:f>
        <x:v>1</x:v>
      </x:c>
    </x:row>
    <x:row r="456">
      <x:c r="A456" s="16" t="str">
        <x:v>Nebraska</x:v>
      </x:c>
      <x:c r="B456" s="16" t="str">
        <x:v>Crawford</x:v>
      </x:c>
      <x:c r="C456" s="16" t="n">
        <x:v>-103.751</x:v>
      </x:c>
      <x:c r="D456" s="16" t="n">
        <x:v>42.67</x:v>
      </x:c>
      <x:c r="E456" s="16" t="str">
        <x:v>Fort Robinson State Park</x:v>
      </x:c>
      <x:c r="F456" s="16" t="str">
        <x:v>History travelers, families, outdoor travelers</x:v>
      </x:c>
      <x:c r="G456" s="16" t="str">
        <x:v>Military history, buttes, lodging, trails, and western scenery fill a large park.</x:v>
      </x:c>
      <x:c r="H456" s="16" t="str">
        <x:v>Historic Site</x:v>
      </x:c>
      <x:c r="I456" s="16" t="str">
        <x:v>https://www.google.com/search?q=Fort%20Robinson%20State%20Park%20Crawford%20Nebraska%20official%20website</x:v>
      </x:c>
      <x:c r="J456" s="16" t="str">
        <x:v>https://www.google.com/search?q=site%3Avisitnebraska.com%20Fort%20Robinson%20State%20Park</x:v>
      </x:c>
      <x:c r="K456" s="16" t="str">
        <x:v>https://www.google.com/search?q=Fort%20Robinson%20State%20Park%20Crawford%20Nebraska%20visitor%20information</x:v>
      </x:c>
      <x:c r="L456" s="16" t="str">
        <x:v>https://www.google.com/search?q=Fort%20Robinson%20State%20Park%20Crawford%20Nebraska%20photos</x:v>
      </x:c>
      <x:c r="M456" s="16" t="str">
        <x:v>https://www.google.com/search?q=Fort%20Robinson%20State%20Park%20Crawford%20Nebraska%20wikipedia%20OR%20wikivoyage</x:v>
      </x:c>
      <x:c r="N456" s="16" t="str">
        <x:v>https://www.google.com/maps/search/?api=1&amp;query=Fort%20Robinson%20State%20Park%2C%20Crawford%2C%20Nebraska</x:v>
      </x:c>
      <x:c r="O456" s="17" t="b">
        <x:v>1</x:v>
      </x:c>
      <x:c r="P456" s="16" t="b">
        <x:f>IFERROR(VLOOKUP(A456,States!$A$2:$B$18,2,FALSE),FALSE)</x:f>
        <x:v>1</x:v>
      </x:c>
      <x:c r="Q456" s="16" t="b">
        <x:f>AND(OR(O456=TRUE,O456="TRUE"),OR(P456=TRUE,P456="TRUE"))</x:f>
        <x:v>1</x:v>
      </x:c>
    </x:row>
    <x:row r="457">
      <x:c r="A457" s="16" t="str">
        <x:v>Nebraska</x:v>
      </x:c>
      <x:c r="B457" s="16" t="str">
        <x:v>Harrison</x:v>
      </x:c>
      <x:c r="C457" s="16" t="n">
        <x:v>-103.58</x:v>
      </x:c>
      <x:c r="D457" s="16" t="n">
        <x:v>42.859</x:v>
      </x:c>
      <x:c r="E457" s="16" t="str">
        <x:v>Agate Fossil Beds National Monument</x:v>
      </x:c>
      <x:c r="F457" s="16" t="str">
        <x:v>Fossil fans, history travelers</x:v>
      </x:c>
      <x:c r="G457" s="16" t="str">
        <x:v>Miocene fossils and Lakota-related collections sit in open prairie scenery.</x:v>
      </x:c>
      <x:c r="H457" s="16" t="str">
        <x:v>National Monument</x:v>
      </x:c>
      <x:c r="I457" s="16" t="str">
        <x:v>https://www.google.com/search?q=Agate%20Fossil%20Beds%20National%20Monument%20Harrison%20Nebraska%20official%20website</x:v>
      </x:c>
      <x:c r="J457" s="16" t="str">
        <x:v>https://www.google.com/search?q=site%3Avisitnebraska.com%20Agate%20Fossil%20Beds%20National%20Monument</x:v>
      </x:c>
      <x:c r="K457" s="16" t="str">
        <x:v>https://www.google.com/search?q=Agate%20Fossil%20Beds%20National%20Monument%20Harrison%20Nebraska%20visitor%20information</x:v>
      </x:c>
      <x:c r="L457" s="16" t="str">
        <x:v>https://www.google.com/search?q=Agate%20Fossil%20Beds%20National%20Monument%20Harrison%20Nebraska%20photos</x:v>
      </x:c>
      <x:c r="M457" s="16" t="str">
        <x:v>https://www.google.com/search?q=site%3Anps.gov%20Agate%20Fossil%20Beds%20National%20Monument</x:v>
      </x:c>
      <x:c r="N457" s="16" t="str">
        <x:v>https://www.google.com/maps/search/?api=1&amp;query=Agate%20Fossil%20Beds%20National%20Monument%2C%20Harrison%2C%20Nebraska</x:v>
      </x:c>
      <x:c r="O457" s="17" t="b">
        <x:v>1</x:v>
      </x:c>
      <x:c r="P457" s="16" t="b">
        <x:f>IFERROR(VLOOKUP(A457,States!$A$2:$B$18,2,FALSE),FALSE)</x:f>
        <x:v>1</x:v>
      </x:c>
      <x:c r="Q457" s="16" t="b">
        <x:f>AND(OR(O457=TRUE,O457="TRUE"),OR(P457=TRUE,P457="TRUE"))</x:f>
        <x:v>1</x:v>
      </x:c>
    </x:row>
    <x:row r="458">
      <x:c r="A458" s="16" t="str">
        <x:v>Nebraska</x:v>
      </x:c>
      <x:c r="B458" s="16" t="str">
        <x:v>Crawford</x:v>
      </x:c>
      <x:c r="C458" s="16" t="n">
        <x:v>-103.586</x:v>
      </x:c>
      <x:c r="D458" s="16" t="n">
        <x:v>42.858</x:v>
      </x:c>
      <x:c r="E458" s="16" t="str">
        <x:v>Toadstool Geologic Park</x:v>
      </x:c>
      <x:c r="F458" s="16" t="str">
        <x:v>Hikers, photographers, geology fans</x:v>
      </x:c>
      <x:c r="G458" s="16" t="str">
        <x:v>Badlands formations create a surreal short-hike landscape in the Oglala grasslands.</x:v>
      </x:c>
      <x:c r="H458" s="16" t="str">
        <x:v>Nature</x:v>
      </x:c>
      <x:c r="I458" s="16" t="str">
        <x:v>https://www.google.com/search?q=Toadstool%20Geologic%20Park%20Crawford%20Nebraska%20official%20website</x:v>
      </x:c>
      <x:c r="J458" s="16" t="str">
        <x:v>https://www.google.com/search?q=site%3Avisitnebraska.com%20Toadstool%20Geologic%20Park</x:v>
      </x:c>
      <x:c r="K458" s="16" t="str">
        <x:v>https://www.google.com/search?q=Toadstool%20Geologic%20Park%20Crawford%20Nebraska%20visitor%20information</x:v>
      </x:c>
      <x:c r="L458" s="16" t="str">
        <x:v>https://www.google.com/search?q=Toadstool%20Geologic%20Park%20Crawford%20Nebraska%20photos</x:v>
      </x:c>
      <x:c r="M458" s="16" t="str">
        <x:v>https://www.google.com/search?q=Toadstool%20Geologic%20Park%20Crawford%20Nebraska%20wikipedia%20OR%20wikivoyage</x:v>
      </x:c>
      <x:c r="N458" s="16" t="str">
        <x:v>https://www.google.com/maps/search/?api=1&amp;query=Toadstool%20Geologic%20Park%2C%20Crawford%2C%20Nebraska</x:v>
      </x:c>
      <x:c r="O458" s="17" t="b">
        <x:v>1</x:v>
      </x:c>
      <x:c r="P458" s="16" t="b">
        <x:f>IFERROR(VLOOKUP(A458,States!$A$2:$B$18,2,FALSE),FALSE)</x:f>
        <x:v>1</x:v>
      </x:c>
      <x:c r="Q458" s="16" t="b">
        <x:f>AND(OR(O458=TRUE,O458="TRUE"),OR(P458=TRUE,P458="TRUE"))</x:f>
        <x:v>1</x:v>
      </x:c>
    </x:row>
    <x:row r="459">
      <x:c r="A459" s="16" t="str">
        <x:v>Nebraska</x:v>
      </x:c>
      <x:c r="B459" s="16" t="str">
        <x:v>Ponca</x:v>
      </x:c>
      <x:c r="C459" s="16" t="n">
        <x:v>-96.71</x:v>
      </x:c>
      <x:c r="D459" s="16" t="n">
        <x:v>42.597</x:v>
      </x:c>
      <x:c r="E459" s="16" t="str">
        <x:v>Ponca State Park</x:v>
      </x:c>
      <x:c r="F459" s="16" t="str">
        <x:v>Families, hikers, Missouri River travelers</x:v>
      </x:c>
      <x:c r="G459" s="16" t="str">
        <x:v>Bluffs, forest trails, river views, and cabins make a strong northeast stop.</x:v>
      </x:c>
      <x:c r="H459" s="16" t="str">
        <x:v>Nature</x:v>
      </x:c>
      <x:c r="I459" s="16" t="str">
        <x:v>https://www.google.com/search?q=Ponca%20State%20Park%20Ponca%20Nebraska%20official%20website</x:v>
      </x:c>
      <x:c r="J459" s="16" t="str">
        <x:v>https://www.google.com/search?q=site%3Avisitnebraska.com%20Ponca%20State%20Park</x:v>
      </x:c>
      <x:c r="K459" s="16" t="str">
        <x:v>https://www.google.com/search?q=Ponca%20State%20Park%20Ponca%20Nebraska%20visitor%20information</x:v>
      </x:c>
      <x:c r="L459" s="16" t="str">
        <x:v>https://www.google.com/search?q=Ponca%20State%20Park%20Ponca%20Nebraska%20photos</x:v>
      </x:c>
      <x:c r="M459" s="16" t="str">
        <x:v>https://www.google.com/search?q=Ponca%20State%20Park%20Ponca%20Nebraska%20wikipedia%20OR%20wikivoyage</x:v>
      </x:c>
      <x:c r="N459" s="16" t="str">
        <x:v>https://www.google.com/maps/search/?api=1&amp;query=Ponca%20State%20Park%2C%20Ponca%2C%20Nebraska</x:v>
      </x:c>
      <x:c r="O459" s="17" t="b">
        <x:v>1</x:v>
      </x:c>
      <x:c r="P459" s="16" t="b">
        <x:f>IFERROR(VLOOKUP(A459,States!$A$2:$B$18,2,FALSE),FALSE)</x:f>
        <x:v>1</x:v>
      </x:c>
      <x:c r="Q459" s="16" t="b">
        <x:f>AND(OR(O459=TRUE,O459="TRUE"),OR(P459=TRUE,P459="TRUE"))</x:f>
        <x:v>1</x:v>
      </x:c>
    </x:row>
    <x:row r="460">
      <x:c r="A460" s="16" t="str">
        <x:v>Nebraska</x:v>
      </x:c>
      <x:c r="B460" s="16" t="str">
        <x:v>Brownville</x:v>
      </x:c>
      <x:c r="C460" s="16" t="n">
        <x:v>-95.657</x:v>
      </x:c>
      <x:c r="D460" s="16" t="n">
        <x:v>40.397</x:v>
      </x:c>
      <x:c r="E460" s="16" t="str">
        <x:v>Brownville Historic District</x:v>
      </x:c>
      <x:c r="F460" s="16" t="str">
        <x:v>History travelers, book lovers, scenic drivers</x:v>
      </x:c>
      <x:c r="G460" s="16" t="str">
        <x:v>A small Missouri River town preserves museums, bookstores, and riverboat heritage.</x:v>
      </x:c>
      <x:c r="H460" s="16" t="str">
        <x:v>Scenic Town</x:v>
      </x:c>
      <x:c r="I460" s="16" t="str">
        <x:v>https://www.google.com/search?q=Brownville%20Historic%20District%20Brownville%20Nebraska%20official%20website</x:v>
      </x:c>
      <x:c r="J460" s="16" t="str">
        <x:v>https://www.google.com/search?q=site%3Avisitnebraska.com%20Brownville%20Historic%20District</x:v>
      </x:c>
      <x:c r="K460" s="16" t="str">
        <x:v>https://www.google.com/search?q=Brownville%20Historic%20District%20Brownville%20Nebraska%20visitor%20information</x:v>
      </x:c>
      <x:c r="L460" s="16" t="str">
        <x:v>https://www.google.com/search?q=Brownville%20Historic%20District%20Brownville%20Nebraska%20photos</x:v>
      </x:c>
      <x:c r="M460" s="16" t="str">
        <x:v>https://www.google.com/search?q=Brownville%20Historic%20District%20Brownville%20Nebraska%20wikipedia%20OR%20wikivoyage</x:v>
      </x:c>
      <x:c r="N460" s="16" t="str">
        <x:v>https://www.google.com/maps/search/?api=1&amp;query=Brownville%20Historic%20District%2C%20Brownville%2C%20Nebraska</x:v>
      </x:c>
      <x:c r="O460" s="17" t="b">
        <x:v>1</x:v>
      </x:c>
      <x:c r="P460" s="16" t="b">
        <x:f>IFERROR(VLOOKUP(A460,States!$A$2:$B$18,2,FALSE),FALSE)</x:f>
        <x:v>1</x:v>
      </x:c>
      <x:c r="Q460" s="16" t="b">
        <x:f>AND(OR(O460=TRUE,O460="TRUE"),OR(P460=TRUE,P460="TRUE"))</x:f>
        <x:v>1</x:v>
      </x:c>
    </x:row>
    <x:row r="461">
      <x:c r="A461" s="16" t="str">
        <x:v>Nebraska</x:v>
      </x:c>
      <x:c r="B461" s="16" t="str">
        <x:v>Grand Island</x:v>
      </x:c>
      <x:c r="C461" s="16" t="n">
        <x:v>-98.347</x:v>
      </x:c>
      <x:c r="D461" s="16" t="n">
        <x:v>40.924</x:v>
      </x:c>
      <x:c r="E461" s="16" t="str">
        <x:v>Stuhr Museum</x:v>
      </x:c>
      <x:c r="F461" s="16" t="str">
        <x:v>Families, history travelers</x:v>
      </x:c>
      <x:c r="G461" s="16" t="str">
        <x:v>Living-history buildings and regional exhibits interpret prairie settlement life.</x:v>
      </x:c>
      <x:c r="H461" s="16" t="str">
        <x:v>Living History</x:v>
      </x:c>
      <x:c r="I461" s="16" t="str">
        <x:v>https://www.google.com/search?q=Stuhr%20Museum%20Grand%20Island%20Nebraska%20official%20website</x:v>
      </x:c>
      <x:c r="J461" s="16" t="str">
        <x:v>https://www.google.com/search?q=site%3Avisitnebraska.com%20Stuhr%20Museum</x:v>
      </x:c>
      <x:c r="K461" s="16" t="str">
        <x:v>https://www.google.com/search?q=Stuhr%20Museum%20Grand%20Island%20Nebraska%20visitor%20information</x:v>
      </x:c>
      <x:c r="L461" s="16" t="str">
        <x:v>https://www.google.com/search?q=Stuhr%20Museum%20Grand%20Island%20Nebraska%20photos</x:v>
      </x:c>
      <x:c r="M461" s="16" t="str">
        <x:v>https://www.google.com/search?q=Stuhr%20Museum%20Grand%20Island%20Nebraska%20wikipedia%20OR%20wikivoyage</x:v>
      </x:c>
      <x:c r="N461" s="16" t="str">
        <x:v>https://www.google.com/maps/search/?api=1&amp;query=Stuhr%20Museum%2C%20Grand%20Island%2C%20Nebraska</x:v>
      </x:c>
      <x:c r="O461" s="17" t="b">
        <x:v>1</x:v>
      </x:c>
      <x:c r="P461" s="16" t="b">
        <x:f>IFERROR(VLOOKUP(A461,States!$A$2:$B$18,2,FALSE),FALSE)</x:f>
        <x:v>1</x:v>
      </x:c>
      <x:c r="Q461" s="16" t="b">
        <x:f>AND(OR(O461=TRUE,O461="TRUE"),OR(P461=TRUE,P461="TRUE"))</x:f>
        <x:v>1</x:v>
      </x:c>
    </x:row>
    <x:row r="462">
      <x:c r="A462" s="16" t="str">
        <x:v>Montana</x:v>
      </x:c>
      <x:c r="B462" s="16" t="str">
        <x:v>Missoula</x:v>
      </x:c>
      <x:c r="C462" s="16" t="n">
        <x:v>-113.997</x:v>
      </x:c>
      <x:c r="D462" s="16" t="n">
        <x:v>46.87</x:v>
      </x:c>
      <x:c r="E462" s="16" t="str">
        <x:v>Missoula Downtown and Riverfront</x:v>
      </x:c>
      <x:c r="F462" s="16" t="str">
        <x:v>Food lovers, walkers, college-town travelers</x:v>
      </x:c>
      <x:c r="G462" s="16" t="str">
        <x:v>River trails, markets, and mountain views make Missoula a lively base.</x:v>
      </x:c>
      <x:c r="H462" s="16" t="str">
        <x:v>Scenic Town</x:v>
      </x:c>
      <x:c r="I462" s="16" t="str">
        <x:v>https://www.google.com/search?q=Missoula%20Downtown%20and%20Riverfront%20Missoula%20Montana%20official%20website</x:v>
      </x:c>
      <x:c r="J462" s="16" t="str">
        <x:v>https://www.google.com/search?q=site%3Avisitmt.com%20Missoula%20Downtown%20and%20Riverfront</x:v>
      </x:c>
      <x:c r="K462" s="16" t="str">
        <x:v>https://www.google.com/search?q=Missoula%20Downtown%20and%20Riverfront%20Missoula%20Montana%20visitor%20information</x:v>
      </x:c>
      <x:c r="L462" s="16" t="str">
        <x:v>https://www.google.com/search?q=Missoula%20Downtown%20and%20Riverfront%20Missoula%20Montana%20photos</x:v>
      </x:c>
      <x:c r="M462" s="16" t="str">
        <x:v>https://www.google.com/search?q=Missoula%20Downtown%20and%20Riverfront%20Missoula%20Montana%20wikipedia%20OR%20wikivoyage</x:v>
      </x:c>
      <x:c r="N462" s="16" t="str">
        <x:v>https://www.google.com/maps/search/?api=1&amp;query=Missoula%20Downtown%20and%20Riverfront%2C%20Missoula%2C%20Montana</x:v>
      </x:c>
      <x:c r="O462" s="17" t="b">
        <x:v>1</x:v>
      </x:c>
      <x:c r="P462" s="16" t="b">
        <x:f>IFERROR(VLOOKUP(A462,States!$A$2:$B$18,2,FALSE),FALSE)</x:f>
        <x:v>1</x:v>
      </x:c>
      <x:c r="Q462" s="16" t="b">
        <x:f>AND(OR(O462=TRUE,O462="TRUE"),OR(P462=TRUE,P462="TRUE"))</x:f>
        <x:v>1</x:v>
      </x:c>
    </x:row>
    <x:row r="463">
      <x:c r="A463" s="16" t="str">
        <x:v>Montana</x:v>
      </x:c>
      <x:c r="B463" s="16" t="str">
        <x:v>Missoula</x:v>
      </x:c>
      <x:c r="C463" s="16" t="n">
        <x:v>-113.993</x:v>
      </x:c>
      <x:c r="D463" s="16" t="n">
        <x:v>46.86</x:v>
      </x:c>
      <x:c r="E463" s="16" t="str">
        <x:v>Fort Missoula Historical Museum</x:v>
      </x:c>
      <x:c r="F463" s="16" t="str">
        <x:v>History travelers, families</x:v>
      </x:c>
      <x:c r="G463" s="16" t="str">
        <x:v>Military, regional, and railroad stories gather in an open-air campus.</x:v>
      </x:c>
      <x:c r="H463" s="16" t="str">
        <x:v>Museum</x:v>
      </x:c>
      <x:c r="I463" s="16" t="str">
        <x:v>https://www.google.com/search?q=Fort%20Missoula%20Historical%20Museum%20Missoula%20Montana%20official%20website</x:v>
      </x:c>
      <x:c r="J463" s="16" t="str">
        <x:v>https://www.google.com/search?q=site%3Avisitmt.com%20Fort%20Missoula%20Historical%20Museum</x:v>
      </x:c>
      <x:c r="K463" s="16" t="str">
        <x:v>https://www.google.com/search?q=Fort%20Missoula%20Historical%20Museum%20Missoula%20Montana%20visitor%20information</x:v>
      </x:c>
      <x:c r="L463" s="16" t="str">
        <x:v>https://www.google.com/search?q=Fort%20Missoula%20Historical%20Museum%20Missoula%20Montana%20photos</x:v>
      </x:c>
      <x:c r="M463" s="16" t="str">
        <x:v>https://www.google.com/search?q=Fort%20Missoula%20Historical%20Museum%20Missoula%20Montana%20wikipedia%20OR%20wikivoyage</x:v>
      </x:c>
      <x:c r="N463" s="16" t="str">
        <x:v>https://www.google.com/maps/search/?api=1&amp;query=Fort%20Missoula%20Historical%20Museum%2C%20Missoula%2C%20Montana</x:v>
      </x:c>
      <x:c r="O463" s="17" t="b">
        <x:v>1</x:v>
      </x:c>
      <x:c r="P463" s="16" t="b">
        <x:f>IFERROR(VLOOKUP(A463,States!$A$2:$B$18,2,FALSE),FALSE)</x:f>
        <x:v>1</x:v>
      </x:c>
      <x:c r="Q463" s="16" t="b">
        <x:f>AND(OR(O463=TRUE,O463="TRUE"),OR(P463=TRUE,P463="TRUE"))</x:f>
        <x:v>1</x:v>
      </x:c>
    </x:row>
    <x:row r="464">
      <x:c r="A464" s="16" t="str">
        <x:v>Montana</x:v>
      </x:c>
      <x:c r="B464" s="16" t="str">
        <x:v>Billings</x:v>
      </x:c>
      <x:c r="C464" s="16" t="n">
        <x:v>-108.565</x:v>
      </x:c>
      <x:c r="D464" s="16" t="n">
        <x:v>45.779</x:v>
      </x:c>
      <x:c r="E464" s="16" t="str">
        <x:v>Pictograph Cave State Park</x:v>
      </x:c>
      <x:c r="F464" s="16" t="str">
        <x:v>History travelers, families</x:v>
      </x:c>
      <x:c r="G464" s="16" t="str">
        <x:v>Rock art and short trails introduce ancient human presence near Billings.</x:v>
      </x:c>
      <x:c r="H464" s="16" t="str">
        <x:v>Historic Site</x:v>
      </x:c>
      <x:c r="I464" s="16" t="str">
        <x:v>https://www.google.com/search?q=Pictograph%20Cave%20State%20Park%20Billings%20Montana%20official%20website</x:v>
      </x:c>
      <x:c r="J464" s="16" t="str">
        <x:v>https://www.google.com/search?q=site%3Avisitmt.com%20Pictograph%20Cave%20State%20Park</x:v>
      </x:c>
      <x:c r="K464" s="16" t="str">
        <x:v>https://www.google.com/search?q=Pictograph%20Cave%20State%20Park%20Billings%20Montana%20visitor%20information</x:v>
      </x:c>
      <x:c r="L464" s="16" t="str">
        <x:v>https://www.google.com/search?q=Pictograph%20Cave%20State%20Park%20Billings%20Montana%20photos</x:v>
      </x:c>
      <x:c r="M464" s="16" t="str">
        <x:v>https://www.google.com/search?q=Pictograph%20Cave%20State%20Park%20Billings%20Montana%20wikipedia%20OR%20wikivoyage</x:v>
      </x:c>
      <x:c r="N464" s="16" t="str">
        <x:v>https://www.google.com/maps/search/?api=1&amp;query=Pictograph%20Cave%20State%20Park%2C%20Billings%2C%20Montana</x:v>
      </x:c>
      <x:c r="O464" s="17" t="b">
        <x:v>1</x:v>
      </x:c>
      <x:c r="P464" s="16" t="b">
        <x:f>IFERROR(VLOOKUP(A464,States!$A$2:$B$18,2,FALSE),FALSE)</x:f>
        <x:v>1</x:v>
      </x:c>
      <x:c r="Q464" s="16" t="b">
        <x:f>AND(OR(O464=TRUE,O464="TRUE"),OR(P464=TRUE,P464="TRUE"))</x:f>
        <x:v>1</x:v>
      </x:c>
    </x:row>
    <x:row r="465">
      <x:c r="A465" s="16" t="str">
        <x:v>Montana</x:v>
      </x:c>
      <x:c r="B465" s="16" t="str">
        <x:v>Billings</x:v>
      </x:c>
      <x:c r="C465" s="16" t="n">
        <x:v>-108.605</x:v>
      </x:c>
      <x:c r="D465" s="16" t="n">
        <x:v>45.809</x:v>
      </x:c>
      <x:c r="E465" s="16" t="str">
        <x:v>Rimrocks and Zimmerman Park</x:v>
      </x:c>
      <x:c r="F465" s="16" t="str">
        <x:v>Hikers, photographers, city explorers</x:v>
      </x:c>
      <x:c r="G465" s="16" t="str">
        <x:v>Sandstone cliffs give easy overlooks above Billings.</x:v>
      </x:c>
      <x:c r="H465" s="16" t="str">
        <x:v>Nature</x:v>
      </x:c>
      <x:c r="I465" s="16" t="str">
        <x:v>https://www.google.com/search?q=Rimrocks%20and%20Zimmerman%20Park%20Billings%20Montana%20official%20website</x:v>
      </x:c>
      <x:c r="J465" s="16" t="str">
        <x:v>https://www.google.com/search?q=site%3Avisitmt.com%20Rimrocks%20and%20Zimmerman%20Park</x:v>
      </x:c>
      <x:c r="K465" s="16" t="str">
        <x:v>https://www.google.com/search?q=Rimrocks%20and%20Zimmerman%20Park%20Billings%20Montana%20visitor%20information</x:v>
      </x:c>
      <x:c r="L465" s="16" t="str">
        <x:v>https://www.google.com/search?q=Rimrocks%20and%20Zimmerman%20Park%20Billings%20Montana%20photos</x:v>
      </x:c>
      <x:c r="M465" s="16" t="str">
        <x:v>https://www.google.com/search?q=Rimrocks%20and%20Zimmerman%20Park%20Billings%20Montana%20wikipedia%20OR%20wikivoyage</x:v>
      </x:c>
      <x:c r="N465" s="16" t="str">
        <x:v>https://www.google.com/maps/search/?api=1&amp;query=Rimrocks%20and%20Zimmerman%20Park%2C%20Billings%2C%20Montana</x:v>
      </x:c>
      <x:c r="O465" s="17" t="b">
        <x:v>1</x:v>
      </x:c>
      <x:c r="P465" s="16" t="b">
        <x:f>IFERROR(VLOOKUP(A465,States!$A$2:$B$18,2,FALSE),FALSE)</x:f>
        <x:v>1</x:v>
      </x:c>
      <x:c r="Q465" s="16" t="b">
        <x:f>AND(OR(O465=TRUE,O465="TRUE"),OR(P465=TRUE,P465="TRUE"))</x:f>
        <x:v>1</x:v>
      </x:c>
    </x:row>
    <x:row r="466">
      <x:c r="A466" s="16" t="str">
        <x:v>Montana</x:v>
      </x:c>
      <x:c r="B466" s="16" t="str">
        <x:v>Kalispell</x:v>
      </x:c>
      <x:c r="C466" s="16" t="n">
        <x:v>-114.315</x:v>
      </x:c>
      <x:c r="D466" s="16" t="n">
        <x:v>48.203</x:v>
      </x:c>
      <x:c r="E466" s="16" t="str">
        <x:v>Flathead Lake</x:v>
      </x:c>
      <x:c r="F466" s="16" t="str">
        <x:v>Families, boaters, scenic drivers</x:v>
      </x:c>
      <x:c r="G466" s="16" t="str">
        <x:v>A huge mountain lake supports beaches, orchards, and shoreline towns.</x:v>
      </x:c>
      <x:c r="H466" s="16" t="str">
        <x:v>Waterfront</x:v>
      </x:c>
      <x:c r="I466" s="16" t="str">
        <x:v>https://www.google.com/search?q=Flathead%20Lake%20Kalispell%20Montana%20official%20website</x:v>
      </x:c>
      <x:c r="J466" s="16" t="str">
        <x:v>https://www.google.com/search?q=site%3Avisitmt.com%20Flathead%20Lake</x:v>
      </x:c>
      <x:c r="K466" s="16" t="str">
        <x:v>https://www.google.com/search?q=Flathead%20Lake%20Kalispell%20Montana%20visitor%20information</x:v>
      </x:c>
      <x:c r="L466" s="16" t="str">
        <x:v>https://www.google.com/search?q=Flathead%20Lake%20Kalispell%20Montana%20photos</x:v>
      </x:c>
      <x:c r="M466" s="16" t="str">
        <x:v>https://www.google.com/search?q=Flathead%20Lake%20Kalispell%20Montana%20wikipedia%20OR%20wikivoyage</x:v>
      </x:c>
      <x:c r="N466" s="16" t="str">
        <x:v>https://www.google.com/maps/search/?api=1&amp;query=Flathead%20Lake%2C%20Kalispell%2C%20Montana</x:v>
      </x:c>
      <x:c r="O466" s="17" t="b">
        <x:v>1</x:v>
      </x:c>
      <x:c r="P466" s="16" t="b">
        <x:f>IFERROR(VLOOKUP(A466,States!$A$2:$B$18,2,FALSE),FALSE)</x:f>
        <x:v>1</x:v>
      </x:c>
      <x:c r="Q466" s="16" t="b">
        <x:f>AND(OR(O466=TRUE,O466="TRUE"),OR(P466=TRUE,P466="TRUE"))</x:f>
        <x:v>1</x:v>
      </x:c>
    </x:row>
    <x:row r="467">
      <x:c r="A467" s="16" t="str">
        <x:v>Montana</x:v>
      </x:c>
      <x:c r="B467" s="16" t="str">
        <x:v>Great Falls</x:v>
      </x:c>
      <x:c r="C467" s="16" t="n">
        <x:v>-111.301</x:v>
      </x:c>
      <x:c r="D467" s="16" t="n">
        <x:v>47.534</x:v>
      </x:c>
      <x:c r="E467" s="16" t="str">
        <x:v>Giant Springs State Park</x:v>
      </x:c>
      <x:c r="F467" s="16" t="str">
        <x:v>Families, walkers, anglers</x:v>
      </x:c>
      <x:c r="G467" s="16" t="str">
        <x:v>Clear springs, river trails, and fish hatchery exhibits make a gentle stop.</x:v>
      </x:c>
      <x:c r="H467" s="16" t="str">
        <x:v>Nature</x:v>
      </x:c>
      <x:c r="I467" s="16" t="str">
        <x:v>https://www.google.com/search?q=Giant%20Springs%20State%20Park%20Great%20Falls%20Montana%20official%20website</x:v>
      </x:c>
      <x:c r="J467" s="16" t="str">
        <x:v>https://www.google.com/search?q=site%3Avisitmt.com%20Giant%20Springs%20State%20Park</x:v>
      </x:c>
      <x:c r="K467" s="16" t="str">
        <x:v>https://www.google.com/search?q=Giant%20Springs%20State%20Park%20Great%20Falls%20Montana%20visitor%20information</x:v>
      </x:c>
      <x:c r="L467" s="16" t="str">
        <x:v>https://www.google.com/search?q=Giant%20Springs%20State%20Park%20Great%20Falls%20Montana%20photos</x:v>
      </x:c>
      <x:c r="M467" s="16" t="str">
        <x:v>https://www.google.com/search?q=Giant%20Springs%20State%20Park%20Great%20Falls%20Montana%20wikipedia%20OR%20wikivoyage</x:v>
      </x:c>
      <x:c r="N467" s="16" t="str">
        <x:v>https://www.google.com/maps/search/?api=1&amp;query=Giant%20Springs%20State%20Park%2C%20Great%20Falls%2C%20Montana</x:v>
      </x:c>
      <x:c r="O467" s="17" t="b">
        <x:v>1</x:v>
      </x:c>
      <x:c r="P467" s="16" t="b">
        <x:f>IFERROR(VLOOKUP(A467,States!$A$2:$B$18,2,FALSE),FALSE)</x:f>
        <x:v>1</x:v>
      </x:c>
      <x:c r="Q467" s="16" t="b">
        <x:f>AND(OR(O467=TRUE,O467="TRUE"),OR(P467=TRUE,P467="TRUE"))</x:f>
        <x:v>1</x:v>
      </x:c>
    </x:row>
    <x:row r="468">
      <x:c r="A468" s="16" t="str">
        <x:v>Montana</x:v>
      </x:c>
      <x:c r="B468" s="16" t="str">
        <x:v>Helena</x:v>
      </x:c>
      <x:c r="C468" s="16" t="n">
        <x:v>-112.036</x:v>
      </x:c>
      <x:c r="D468" s="16" t="n">
        <x:v>46.589</x:v>
      </x:c>
      <x:c r="E468" s="16" t="str">
        <x:v>Cathedral of St. Helena</x:v>
      </x:c>
      <x:c r="F468" s="16" t="str">
        <x:v>Architecture fans, city explorers</x:v>
      </x:c>
      <x:c r="G468" s="16" t="str">
        <x:v>Twin spires and stained glass create a memorable downtown landmark.</x:v>
      </x:c>
      <x:c r="H468" s="16" t="str">
        <x:v>Architecture</x:v>
      </x:c>
      <x:c r="I468" s="16" t="str">
        <x:v>https://www.google.com/search?q=Cathedral%20of%20St.%20Helena%20Helena%20Montana%20official%20website</x:v>
      </x:c>
      <x:c r="J468" s="16" t="str">
        <x:v>https://www.google.com/search?q=site%3Avisitmt.com%20Cathedral%20of%20St.%20Helena</x:v>
      </x:c>
      <x:c r="K468" s="16" t="str">
        <x:v>https://www.google.com/search?q=Cathedral%20of%20St.%20Helena%20Helena%20Montana%20visitor%20information</x:v>
      </x:c>
      <x:c r="L468" s="16" t="str">
        <x:v>https://www.google.com/search?q=Cathedral%20of%20St.%20Helena%20Helena%20Montana%20photos</x:v>
      </x:c>
      <x:c r="M468" s="16" t="str">
        <x:v>https://www.google.com/search?q=Cathedral%20of%20St.%20Helena%20Helena%20Montana%20wikipedia%20OR%20wikivoyage</x:v>
      </x:c>
      <x:c r="N468" s="16" t="str">
        <x:v>https://www.google.com/maps/search/?api=1&amp;query=Cathedral%20of%20St.%20Helena%2C%20Helena%2C%20Montana</x:v>
      </x:c>
      <x:c r="O468" s="17" t="b">
        <x:v>1</x:v>
      </x:c>
      <x:c r="P468" s="16" t="b">
        <x:f>IFERROR(VLOOKUP(A468,States!$A$2:$B$18,2,FALSE),FALSE)</x:f>
        <x:v>1</x:v>
      </x:c>
      <x:c r="Q468" s="16" t="b">
        <x:f>AND(OR(O468=TRUE,O468="TRUE"),OR(P468=TRUE,P468="TRUE"))</x:f>
        <x:v>1</x:v>
      </x:c>
    </x:row>
    <x:row r="469">
      <x:c r="A469" s="16" t="str">
        <x:v>Montana</x:v>
      </x:c>
      <x:c r="B469" s="16" t="str">
        <x:v>Anaconda</x:v>
      </x:c>
      <x:c r="C469" s="16" t="n">
        <x:v>-113.144</x:v>
      </x:c>
      <x:c r="D469" s="16" t="n">
        <x:v>46.131</x:v>
      </x:c>
      <x:c r="E469" s="16" t="str">
        <x:v>Anaconda Smoke Stack State Park</x:v>
      </x:c>
      <x:c r="F469" s="16" t="str">
        <x:v>Industrial-history fans, photographers</x:v>
      </x:c>
      <x:c r="G469" s="16" t="str">
        <x:v>A massive smelter stack marks Montana's mining and industrial past.</x:v>
      </x:c>
      <x:c r="H469" s="16" t="str">
        <x:v>Historic Site</x:v>
      </x:c>
      <x:c r="I469" s="16" t="str">
        <x:v>https://www.google.com/search?q=Anaconda%20Smoke%20Stack%20State%20Park%20Anaconda%20Montana%20official%20website</x:v>
      </x:c>
      <x:c r="J469" s="16" t="str">
        <x:v>https://www.google.com/search?q=site%3Avisitmt.com%20Anaconda%20Smoke%20Stack%20State%20Park</x:v>
      </x:c>
      <x:c r="K469" s="16" t="str">
        <x:v>https://www.google.com/search?q=Anaconda%20Smoke%20Stack%20State%20Park%20Anaconda%20Montana%20visitor%20information</x:v>
      </x:c>
      <x:c r="L469" s="16" t="str">
        <x:v>https://www.google.com/search?q=Anaconda%20Smoke%20Stack%20State%20Park%20Anaconda%20Montana%20photos</x:v>
      </x:c>
      <x:c r="M469" s="16" t="str">
        <x:v>https://www.google.com/search?q=Anaconda%20Smoke%20Stack%20State%20Park%20Anaconda%20Montana%20wikipedia%20OR%20wikivoyage</x:v>
      </x:c>
      <x:c r="N469" s="16" t="str">
        <x:v>https://www.google.com/maps/search/?api=1&amp;query=Anaconda%20Smoke%20Stack%20State%20Park%2C%20Anaconda%2C%20Montana</x:v>
      </x:c>
      <x:c r="O469" s="17" t="b">
        <x:v>1</x:v>
      </x:c>
      <x:c r="P469" s="16" t="b">
        <x:f>IFERROR(VLOOKUP(A469,States!$A$2:$B$18,2,FALSE),FALSE)</x:f>
        <x:v>1</x:v>
      </x:c>
      <x:c r="Q469" s="16" t="b">
        <x:f>AND(OR(O469=TRUE,O469="TRUE"),OR(P469=TRUE,P469="TRUE"))</x:f>
        <x:v>1</x:v>
      </x:c>
    </x:row>
    <x:row r="470">
      <x:c r="A470" s="16" t="str">
        <x:v>Montana</x:v>
      </x:c>
      <x:c r="B470" s="16" t="str">
        <x:v>Butte</x:v>
      </x:c>
      <x:c r="C470" s="16" t="n">
        <x:v>-112.536</x:v>
      </x:c>
      <x:c r="D470" s="16" t="n">
        <x:v>46.012</x:v>
      </x:c>
      <x:c r="E470" s="16" t="str">
        <x:v>World Museum of Mining</x:v>
      </x:c>
      <x:c r="F470" s="16" t="str">
        <x:v>History travelers, families</x:v>
      </x:c>
      <x:c r="G470" s="16" t="str">
        <x:v>Mine yards and underground tours explain Butte's copper era.</x:v>
      </x:c>
      <x:c r="H470" s="16" t="str">
        <x:v>Museum</x:v>
      </x:c>
      <x:c r="I470" s="16" t="str">
        <x:v>https://www.google.com/search?q=World%20Museum%20of%20Mining%20Butte%20Montana%20official%20website</x:v>
      </x:c>
      <x:c r="J470" s="16" t="str">
        <x:v>https://www.google.com/search?q=site%3Avisitmt.com%20World%20Museum%20of%20Mining</x:v>
      </x:c>
      <x:c r="K470" s="16" t="str">
        <x:v>https://www.google.com/search?q=World%20Museum%20of%20Mining%20Butte%20Montana%20visitor%20information</x:v>
      </x:c>
      <x:c r="L470" s="16" t="str">
        <x:v>https://www.google.com/search?q=World%20Museum%20of%20Mining%20Butte%20Montana%20photos</x:v>
      </x:c>
      <x:c r="M470" s="16" t="str">
        <x:v>https://www.google.com/search?q=World%20Museum%20of%20Mining%20Butte%20Montana%20wikipedia%20OR%20wikivoyage</x:v>
      </x:c>
      <x:c r="N470" s="16" t="str">
        <x:v>https://www.google.com/maps/search/?api=1&amp;query=World%20Museum%20of%20Mining%2C%20Butte%2C%20Montana</x:v>
      </x:c>
      <x:c r="O470" s="17" t="b">
        <x:v>1</x:v>
      </x:c>
      <x:c r="P470" s="16" t="b">
        <x:f>IFERROR(VLOOKUP(A470,States!$A$2:$B$18,2,FALSE),FALSE)</x:f>
        <x:v>1</x:v>
      </x:c>
      <x:c r="Q470" s="16" t="b">
        <x:f>AND(OR(O470=TRUE,O470="TRUE"),OR(P470=TRUE,P470="TRUE"))</x:f>
        <x:v>1</x:v>
      </x:c>
    </x:row>
    <x:row r="471">
      <x:c r="A471" s="16" t="str">
        <x:v>Montana</x:v>
      </x:c>
      <x:c r="B471" s="16" t="str">
        <x:v>Fort Benton</x:v>
      </x:c>
      <x:c r="C471" s="16" t="n">
        <x:v>-110.674</x:v>
      </x:c>
      <x:c r="D471" s="16" t="n">
        <x:v>47.818</x:v>
      </x:c>
      <x:c r="E471" s="16" t="str">
        <x:v>Fort Benton Historic District</x:v>
      </x:c>
      <x:c r="F471" s="16" t="str">
        <x:v>History travelers, river-road drivers</x:v>
      </x:c>
      <x:c r="G471" s="16" t="str">
        <x:v>Missouri River steamboat history shapes one of Montana's oldest towns.</x:v>
      </x:c>
      <x:c r="H471" s="16" t="str">
        <x:v>Historic Site</x:v>
      </x:c>
      <x:c r="I471" s="16" t="str">
        <x:v>https://www.google.com/search?q=Fort%20Benton%20Historic%20District%20Fort%20Benton%20Montana%20official%20website</x:v>
      </x:c>
      <x:c r="J471" s="16" t="str">
        <x:v>https://www.google.com/search?q=site%3Avisitmt.com%20Fort%20Benton%20Historic%20District</x:v>
      </x:c>
      <x:c r="K471" s="16" t="str">
        <x:v>https://www.google.com/search?q=Fort%20Benton%20Historic%20District%20Fort%20Benton%20Montana%20visitor%20information</x:v>
      </x:c>
      <x:c r="L471" s="16" t="str">
        <x:v>https://www.google.com/search?q=Fort%20Benton%20Historic%20District%20Fort%20Benton%20Montana%20photos</x:v>
      </x:c>
      <x:c r="M471" s="16" t="str">
        <x:v>https://www.google.com/search?q=Fort%20Benton%20Historic%20District%20Fort%20Benton%20Montana%20wikipedia%20OR%20wikivoyage</x:v>
      </x:c>
      <x:c r="N471" s="16" t="str">
        <x:v>https://www.google.com/maps/search/?api=1&amp;query=Fort%20Benton%20Historic%20District%2C%20Fort%20Benton%2C%20Montana</x:v>
      </x:c>
      <x:c r="O471" s="17" t="b">
        <x:v>1</x:v>
      </x:c>
      <x:c r="P471" s="16" t="b">
        <x:f>IFERROR(VLOOKUP(A471,States!$A$2:$B$18,2,FALSE),FALSE)</x:f>
        <x:v>1</x:v>
      </x:c>
      <x:c r="Q471" s="16" t="b">
        <x:f>AND(OR(O471=TRUE,O471="TRUE"),OR(P471=TRUE,P471="TRUE"))</x:f>
        <x:v>1</x:v>
      </x:c>
    </x:row>
    <x:row r="472">
      <x:c r="A472" s="16" t="str">
        <x:v>Wyoming</x:v>
      </x:c>
      <x:c r="B472" s="16" t="str">
        <x:v>Sheridan</x:v>
      </x:c>
      <x:c r="C472" s="16" t="n">
        <x:v>-106.956</x:v>
      </x:c>
      <x:c r="D472" s="16" t="n">
        <x:v>44.797</x:v>
      </x:c>
      <x:c r="E472" s="16" t="str">
        <x:v>Bighorn Scenic Byway</x:v>
      </x:c>
      <x:c r="F472" s="16" t="str">
        <x:v>Scenic drivers, photographers</x:v>
      </x:c>
      <x:c r="G472" s="16" t="str">
        <x:v>Mountain passes, canyons, and ranch country make a classic northern crossing.</x:v>
      </x:c>
      <x:c r="H472" s="16" t="str">
        <x:v>Scenic Drive</x:v>
      </x:c>
      <x:c r="I472" s="16" t="str">
        <x:v>https://www.google.com/search?q=Bighorn%20Scenic%20Byway%20Sheridan%20Wyoming%20official%20website</x:v>
      </x:c>
      <x:c r="J472" s="16" t="str">
        <x:v>https://www.google.com/search?q=site%3Atravelwyoming.com%20Bighorn%20Scenic%20Byway</x:v>
      </x:c>
      <x:c r="K472" s="16" t="str">
        <x:v>https://www.google.com/search?q=Bighorn%20Scenic%20Byway%20Sheridan%20Wyoming%20visitor%20information</x:v>
      </x:c>
      <x:c r="L472" s="16" t="str">
        <x:v>https://www.google.com/search?q=Bighorn%20Scenic%20Byway%20Sheridan%20Wyoming%20photos</x:v>
      </x:c>
      <x:c r="M472" s="16" t="str">
        <x:v>https://www.google.com/search?q=Bighorn%20Scenic%20Byway%20Sheridan%20Wyoming%20wikipedia%20OR%20wikivoyage</x:v>
      </x:c>
      <x:c r="N472" s="16" t="str">
        <x:v>https://www.google.com/maps/search/?api=1&amp;query=Bighorn%20Scenic%20Byway%2C%20Sheridan%2C%20Wyoming</x:v>
      </x:c>
      <x:c r="O472" s="17" t="b">
        <x:v>1</x:v>
      </x:c>
      <x:c r="P472" s="16" t="b">
        <x:f>IFERROR(VLOOKUP(A472,States!$A$2:$B$18,2,FALSE),FALSE)</x:f>
        <x:v>1</x:v>
      </x:c>
      <x:c r="Q472" s="16" t="b">
        <x:f>AND(OR(O472=TRUE,O472="TRUE"),OR(P472=TRUE,P472="TRUE"))</x:f>
        <x:v>1</x:v>
      </x:c>
    </x:row>
    <x:row r="473">
      <x:c r="A473" s="16" t="str">
        <x:v>Wyoming</x:v>
      </x:c>
      <x:c r="B473" s="16" t="str">
        <x:v>Cody</x:v>
      </x:c>
      <x:c r="C473" s="16" t="n">
        <x:v>-109.079</x:v>
      </x:c>
      <x:c r="D473" s="16" t="n">
        <x:v>44.526</x:v>
      </x:c>
      <x:c r="E473" s="16" t="str">
        <x:v>Cody Nite Rodeo</x:v>
      </x:c>
      <x:c r="F473" s="16" t="str">
        <x:v>Families, western-culture travelers</x:v>
      </x:c>
      <x:c r="G473" s="16" t="str">
        <x:v>Summer rodeo energy adds living cowboy culture to a Yellowstone gateway.</x:v>
      </x:c>
      <x:c r="H473" s="16" t="str">
        <x:v>Entertainment</x:v>
      </x:c>
      <x:c r="I473" s="16" t="str">
        <x:v>https://www.google.com/search?q=Cody%20Nite%20Rodeo%20Cody%20Wyoming%20official%20website</x:v>
      </x:c>
      <x:c r="J473" s="16" t="str">
        <x:v>https://www.google.com/search?q=site%3Atravelwyoming.com%20Cody%20Nite%20Rodeo</x:v>
      </x:c>
      <x:c r="K473" s="16" t="str">
        <x:v>https://www.google.com/search?q=Cody%20Nite%20Rodeo%20Cody%20Wyoming%20visitor%20information</x:v>
      </x:c>
      <x:c r="L473" s="16" t="str">
        <x:v>https://www.google.com/search?q=Cody%20Nite%20Rodeo%20Cody%20Wyoming%20photos</x:v>
      </x:c>
      <x:c r="M473" s="16" t="str">
        <x:v>https://www.google.com/search?q=Cody%20Nite%20Rodeo%20Cody%20Wyoming%20wikipedia%20OR%20wikivoyage</x:v>
      </x:c>
      <x:c r="N473" s="16" t="str">
        <x:v>https://www.google.com/maps/search/?api=1&amp;query=Cody%20Nite%20Rodeo%2C%20Cody%2C%20Wyoming</x:v>
      </x:c>
      <x:c r="O473" s="17" t="b">
        <x:v>1</x:v>
      </x:c>
      <x:c r="P473" s="16" t="b">
        <x:f>IFERROR(VLOOKUP(A473,States!$A$2:$B$18,2,FALSE),FALSE)</x:f>
        <x:v>1</x:v>
      </x:c>
      <x:c r="Q473" s="16" t="b">
        <x:f>AND(OR(O473=TRUE,O473="TRUE"),OR(P473=TRUE,P473="TRUE"))</x:f>
        <x:v>1</x:v>
      </x:c>
    </x:row>
    <x:row r="474">
      <x:c r="A474" s="16" t="str">
        <x:v>Wyoming</x:v>
      </x:c>
      <x:c r="B474" s="16" t="str">
        <x:v>Pinedale</x:v>
      </x:c>
      <x:c r="C474" s="16" t="n">
        <x:v>-109.856</x:v>
      </x:c>
      <x:c r="D474" s="16" t="n">
        <x:v>42.868</x:v>
      </x:c>
      <x:c r="E474" s="16" t="str">
        <x:v>Museum of the Mountain Man</x:v>
      </x:c>
      <x:c r="F474" s="16" t="str">
        <x:v>History fans, families</x:v>
      </x:c>
      <x:c r="G474" s="16" t="str">
        <x:v>Fur trade and mountain-man history fit the Green River valley.</x:v>
      </x:c>
      <x:c r="H474" s="16" t="str">
        <x:v>Museum</x:v>
      </x:c>
      <x:c r="I474" s="16" t="str">
        <x:v>https://www.google.com/search?q=Museum%20of%20the%20Mountain%20Man%20Pinedale%20Wyoming%20official%20website</x:v>
      </x:c>
      <x:c r="J474" s="16" t="str">
        <x:v>https://www.google.com/search?q=site%3Atravelwyoming.com%20Museum%20of%20the%20Mountain%20Man</x:v>
      </x:c>
      <x:c r="K474" s="16" t="str">
        <x:v>https://www.google.com/search?q=Museum%20of%20the%20Mountain%20Man%20Pinedale%20Wyoming%20visitor%20information</x:v>
      </x:c>
      <x:c r="L474" s="16" t="str">
        <x:v>https://www.google.com/search?q=Museum%20of%20the%20Mountain%20Man%20Pinedale%20Wyoming%20photos</x:v>
      </x:c>
      <x:c r="M474" s="16" t="str">
        <x:v>https://www.google.com/search?q=Museum%20of%20the%20Mountain%20Man%20Pinedale%20Wyoming%20wikipedia%20OR%20wikivoyage</x:v>
      </x:c>
      <x:c r="N474" s="16" t="str">
        <x:v>https://www.google.com/maps/search/?api=1&amp;query=Museum%20of%20the%20Mountain%20Man%2C%20Pinedale%2C%20Wyoming</x:v>
      </x:c>
      <x:c r="O474" s="17" t="b">
        <x:v>1</x:v>
      </x:c>
      <x:c r="P474" s="16" t="b">
        <x:f>IFERROR(VLOOKUP(A474,States!$A$2:$B$18,2,FALSE),FALSE)</x:f>
        <x:v>1</x:v>
      </x:c>
      <x:c r="Q474" s="16" t="b">
        <x:f>AND(OR(O474=TRUE,O474="TRUE"),OR(P474=TRUE,P474="TRUE"))</x:f>
        <x:v>1</x:v>
      </x:c>
    </x:row>
    <x:row r="475">
      <x:c r="A475" s="16" t="str">
        <x:v>Wyoming</x:v>
      </x:c>
      <x:c r="B475" s="16" t="str">
        <x:v>Casper</x:v>
      </x:c>
      <x:c r="C475" s="16" t="n">
        <x:v>-106.365</x:v>
      </x:c>
      <x:c r="D475" s="16" t="n">
        <x:v>42.848</x:v>
      </x:c>
      <x:c r="E475" s="16" t="str">
        <x:v>National Historic Trails Interpretive Center</x:v>
      </x:c>
      <x:c r="F475" s="16" t="str">
        <x:v>History travelers, families</x:v>
      </x:c>
      <x:c r="G475" s="16" t="str">
        <x:v>Oregon, Mormon, California, and Pony Express trails converge in exhibits.</x:v>
      </x:c>
      <x:c r="H475" s="16" t="str">
        <x:v>Museum</x:v>
      </x:c>
      <x:c r="I475" s="16" t="str">
        <x:v>https://www.google.com/search?q=National%20Historic%20Trails%20Interpretive%20Center%20Casper%20Wyoming%20official%20website</x:v>
      </x:c>
      <x:c r="J475" s="16" t="str">
        <x:v>https://www.google.com/search?q=site%3Atravelwyoming.com%20National%20Historic%20Trails%20Interpretive%20Center</x:v>
      </x:c>
      <x:c r="K475" s="16" t="str">
        <x:v>https://www.google.com/search?q=National%20Historic%20Trails%20Interpretive%20Center%20Casper%20Wyoming%20visitor%20information</x:v>
      </x:c>
      <x:c r="L475" s="16" t="str">
        <x:v>https://www.google.com/search?q=National%20Historic%20Trails%20Interpretive%20Center%20Casper%20Wyoming%20photos</x:v>
      </x:c>
      <x:c r="M475" s="16" t="str">
        <x:v>https://www.google.com/search?q=National%20Historic%20Trails%20Interpretive%20Center%20Casper%20Wyoming%20wikipedia%20OR%20wikivoyage</x:v>
      </x:c>
      <x:c r="N475" s="16" t="str">
        <x:v>https://www.google.com/maps/search/?api=1&amp;query=National%20Historic%20Trails%20Interpretive%20Center%2C%20Casper%2C%20Wyoming</x:v>
      </x:c>
      <x:c r="O475" s="17" t="b">
        <x:v>1</x:v>
      </x:c>
      <x:c r="P475" s="16" t="b">
        <x:f>IFERROR(VLOOKUP(A475,States!$A$2:$B$18,2,FALSE),FALSE)</x:f>
        <x:v>1</x:v>
      </x:c>
      <x:c r="Q475" s="16" t="b">
        <x:f>AND(OR(O475=TRUE,O475="TRUE"),OR(P475=TRUE,P475="TRUE"))</x:f>
        <x:v>1</x:v>
      </x:c>
    </x:row>
    <x:row r="476">
      <x:c r="A476" s="16" t="str">
        <x:v>Wyoming</x:v>
      </x:c>
      <x:c r="B476" s="16" t="str">
        <x:v>Casper</x:v>
      </x:c>
      <x:c r="C476" s="16" t="n">
        <x:v>-106.326</x:v>
      </x:c>
      <x:c r="D476" s="16" t="n">
        <x:v>42.85</x:v>
      </x:c>
      <x:c r="E476" s="16" t="str">
        <x:v>Tate Geological Museum</x:v>
      </x:c>
      <x:c r="F476" s="16" t="str">
        <x:v>Fossil fans, families</x:v>
      </x:c>
      <x:c r="G476" s="16" t="str">
        <x:v>Dinosaurs, minerals, and mammoth remains make a compact science stop.</x:v>
      </x:c>
      <x:c r="H476" s="16" t="str">
        <x:v>Science</x:v>
      </x:c>
      <x:c r="I476" s="16" t="str">
        <x:v>https://www.google.com/search?q=Tate%20Geological%20Museum%20Casper%20Wyoming%20official%20website</x:v>
      </x:c>
      <x:c r="J476" s="16" t="str">
        <x:v>https://www.google.com/search?q=site%3Atravelwyoming.com%20Tate%20Geological%20Museum</x:v>
      </x:c>
      <x:c r="K476" s="16" t="str">
        <x:v>https://www.google.com/search?q=Tate%20Geological%20Museum%20Casper%20Wyoming%20visitor%20information</x:v>
      </x:c>
      <x:c r="L476" s="16" t="str">
        <x:v>https://www.google.com/search?q=Tate%20Geological%20Museum%20Casper%20Wyoming%20photos</x:v>
      </x:c>
      <x:c r="M476" s="16" t="str">
        <x:v>https://www.google.com/search?q=Tate%20Geological%20Museum%20Casper%20Wyoming%20wikipedia%20OR%20wikivoyage</x:v>
      </x:c>
      <x:c r="N476" s="16" t="str">
        <x:v>https://www.google.com/maps/search/?api=1&amp;query=Tate%20Geological%20Museum%2C%20Casper%2C%20Wyoming</x:v>
      </x:c>
      <x:c r="O476" s="17" t="b">
        <x:v>1</x:v>
      </x:c>
      <x:c r="P476" s="16" t="b">
        <x:f>IFERROR(VLOOKUP(A476,States!$A$2:$B$18,2,FALSE),FALSE)</x:f>
        <x:v>1</x:v>
      </x:c>
      <x:c r="Q476" s="16" t="b">
        <x:f>AND(OR(O476=TRUE,O476="TRUE"),OR(P476=TRUE,P476="TRUE"))</x:f>
        <x:v>1</x:v>
      </x:c>
    </x:row>
    <x:row r="477">
      <x:c r="A477" s="16" t="str">
        <x:v>Wyoming</x:v>
      </x:c>
      <x:c r="B477" s="16" t="str">
        <x:v>Cheyenne</x:v>
      </x:c>
      <x:c r="C477" s="16" t="n">
        <x:v>-104.828</x:v>
      </x:c>
      <x:c r="D477" s="16" t="n">
        <x:v>41.136</x:v>
      </x:c>
      <x:c r="E477" s="16" t="str">
        <x:v>Cheyenne Frontier Days Old West Museum</x:v>
      </x:c>
      <x:c r="F477" s="16" t="str">
        <x:v>Rodeo fans, families</x:v>
      </x:c>
      <x:c r="G477" s="16" t="str">
        <x:v>Rodeo artifacts and western culture explain Cheyenne's signature event.</x:v>
      </x:c>
      <x:c r="H477" s="16" t="str">
        <x:v>Museum</x:v>
      </x:c>
      <x:c r="I477" s="16" t="str">
        <x:v>https://www.google.com/search?q=Cheyenne%20Frontier%20Days%20Old%20West%20Museum%20Cheyenne%20Wyoming%20official%20website</x:v>
      </x:c>
      <x:c r="J477" s="16" t="str">
        <x:v>https://www.google.com/search?q=site%3Atravelwyoming.com%20Cheyenne%20Frontier%20Days%20Old%20West%20Museum</x:v>
      </x:c>
      <x:c r="K477" s="16" t="str">
        <x:v>https://www.google.com/search?q=Cheyenne%20Frontier%20Days%20Old%20West%20Museum%20Cheyenne%20Wyoming%20visitor%20information</x:v>
      </x:c>
      <x:c r="L477" s="16" t="str">
        <x:v>https://www.google.com/search?q=Cheyenne%20Frontier%20Days%20Old%20West%20Museum%20Cheyenne%20Wyoming%20photos</x:v>
      </x:c>
      <x:c r="M477" s="16" t="str">
        <x:v>https://www.google.com/search?q=Cheyenne%20Frontier%20Days%20Old%20West%20Museum%20Cheyenne%20Wyoming%20wikipedia%20OR%20wikivoyage</x:v>
      </x:c>
      <x:c r="N477" s="16" t="str">
        <x:v>https://www.google.com/maps/search/?api=1&amp;query=Cheyenne%20Frontier%20Days%20Old%20West%20Museum%2C%20Cheyenne%2C%20Wyoming</x:v>
      </x:c>
      <x:c r="O477" s="17" t="b">
        <x:v>1</x:v>
      </x:c>
      <x:c r="P477" s="16" t="b">
        <x:f>IFERROR(VLOOKUP(A477,States!$A$2:$B$18,2,FALSE),FALSE)</x:f>
        <x:v>1</x:v>
      </x:c>
      <x:c r="Q477" s="16" t="b">
        <x:f>AND(OR(O477=TRUE,O477="TRUE"),OR(P477=TRUE,P477="TRUE"))</x:f>
        <x:v>1</x:v>
      </x:c>
    </x:row>
    <x:row r="478">
      <x:c r="A478" s="16" t="str">
        <x:v>Wyoming</x:v>
      </x:c>
      <x:c r="B478" s="16" t="str">
        <x:v>Sundance</x:v>
      </x:c>
      <x:c r="C478" s="16" t="n">
        <x:v>-104.372</x:v>
      </x:c>
      <x:c r="D478" s="16" t="n">
        <x:v>44.406</x:v>
      </x:c>
      <x:c r="E478" s="16" t="str">
        <x:v>Vore Buffalo Jump</x:v>
      </x:c>
      <x:c r="F478" s="16" t="str">
        <x:v>History travelers, culture travelers</x:v>
      </x:c>
      <x:c r="G478" s="16" t="str">
        <x:v>Archaeological layers reveal Plains bison hunting traditions.</x:v>
      </x:c>
      <x:c r="H478" s="16" t="str">
        <x:v>Historic Site</x:v>
      </x:c>
      <x:c r="I478" s="16" t="str">
        <x:v>https://www.google.com/search?q=Vore%20Buffalo%20Jump%20Sundance%20Wyoming%20official%20website</x:v>
      </x:c>
      <x:c r="J478" s="16" t="str">
        <x:v>https://www.google.com/search?q=site%3Atravelwyoming.com%20Vore%20Buffalo%20Jump</x:v>
      </x:c>
      <x:c r="K478" s="16" t="str">
        <x:v>https://www.google.com/search?q=Vore%20Buffalo%20Jump%20Sundance%20Wyoming%20visitor%20information</x:v>
      </x:c>
      <x:c r="L478" s="16" t="str">
        <x:v>https://www.google.com/search?q=Vore%20Buffalo%20Jump%20Sundance%20Wyoming%20photos</x:v>
      </x:c>
      <x:c r="M478" s="16" t="str">
        <x:v>https://www.google.com/search?q=Vore%20Buffalo%20Jump%20Sundance%20Wyoming%20wikipedia%20OR%20wikivoyage</x:v>
      </x:c>
      <x:c r="N478" s="16" t="str">
        <x:v>https://www.google.com/maps/search/?api=1&amp;query=Vore%20Buffalo%20Jump%2C%20Sundance%2C%20Wyoming</x:v>
      </x:c>
      <x:c r="O478" s="17" t="b">
        <x:v>1</x:v>
      </x:c>
      <x:c r="P478" s="16" t="b">
        <x:f>IFERROR(VLOOKUP(A478,States!$A$2:$B$18,2,FALSE),FALSE)</x:f>
        <x:v>1</x:v>
      </x:c>
      <x:c r="Q478" s="16" t="b">
        <x:f>AND(OR(O478=TRUE,O478="TRUE"),OR(P478=TRUE,P478="TRUE"))</x:f>
        <x:v>1</x:v>
      </x:c>
    </x:row>
    <x:row r="479">
      <x:c r="A479" s="16" t="str">
        <x:v>Wyoming</x:v>
      </x:c>
      <x:c r="B479" s="16" t="str">
        <x:v>Rock Springs</x:v>
      </x:c>
      <x:c r="C479" s="16" t="n">
        <x:v>-109.203</x:v>
      </x:c>
      <x:c r="D479" s="16" t="n">
        <x:v>41.587</x:v>
      </x:c>
      <x:c r="E479" s="16" t="str">
        <x:v>Pilot Butte Wild Horse Scenic Loop</x:v>
      </x:c>
      <x:c r="F479" s="16" t="str">
        <x:v>Wildlife watchers, scenic drivers</x:v>
      </x:c>
      <x:c r="G479" s="16" t="str">
        <x:v>A loop road offers chances to see wild horses and high-desert views.</x:v>
      </x:c>
      <x:c r="H479" s="16" t="str">
        <x:v>Scenic Drive</x:v>
      </x:c>
      <x:c r="I479" s="16" t="str">
        <x:v>https://www.google.com/search?q=Pilot%20Butte%20Wild%20Horse%20Scenic%20Loop%20Rock%20Springs%20Wyoming%20official%20website</x:v>
      </x:c>
      <x:c r="J479" s="16" t="str">
        <x:v>https://www.google.com/search?q=site%3Atravelwyoming.com%20Pilot%20Butte%20Wild%20Horse%20Scenic%20Loop</x:v>
      </x:c>
      <x:c r="K479" s="16" t="str">
        <x:v>https://www.google.com/search?q=Pilot%20Butte%20Wild%20Horse%20Scenic%20Loop%20Rock%20Springs%20Wyoming%20visitor%20information</x:v>
      </x:c>
      <x:c r="L479" s="16" t="str">
        <x:v>https://www.google.com/search?q=Pilot%20Butte%20Wild%20Horse%20Scenic%20Loop%20Rock%20Springs%20Wyoming%20photos</x:v>
      </x:c>
      <x:c r="M479" s="16" t="str">
        <x:v>https://www.google.com/search?q=Pilot%20Butte%20Wild%20Horse%20Scenic%20Loop%20Rock%20Springs%20Wyoming%20wikipedia%20OR%20wikivoyage</x:v>
      </x:c>
      <x:c r="N479" s="16" t="str">
        <x:v>https://www.google.com/maps/search/?api=1&amp;query=Pilot%20Butte%20Wild%20Horse%20Scenic%20Loop%2C%20Rock%20Springs%2C%20Wyoming</x:v>
      </x:c>
      <x:c r="O479" s="17" t="b">
        <x:v>1</x:v>
      </x:c>
      <x:c r="P479" s="16" t="b">
        <x:f>IFERROR(VLOOKUP(A479,States!$A$2:$B$18,2,FALSE),FALSE)</x:f>
        <x:v>1</x:v>
      </x:c>
      <x:c r="Q479" s="16" t="b">
        <x:f>AND(OR(O479=TRUE,O479="TRUE"),OR(P479=TRUE,P479="TRUE"))</x:f>
        <x:v>1</x:v>
      </x:c>
    </x:row>
    <x:row r="480">
      <x:c r="A480" s="16" t="str">
        <x:v>Wyoming</x:v>
      </x:c>
      <x:c r="B480" s="16" t="str">
        <x:v>Afton</x:v>
      </x:c>
      <x:c r="C480" s="16" t="n">
        <x:v>-110.933</x:v>
      </x:c>
      <x:c r="D480" s="16" t="n">
        <x:v>42.724</x:v>
      </x:c>
      <x:c r="E480" s="16" t="str">
        <x:v>Intermittent Spring</x:v>
      </x:c>
      <x:c r="F480" s="16" t="str">
        <x:v>Hikers, geology fans</x:v>
      </x:c>
      <x:c r="G480" s="16" t="str">
        <x:v>A rhythmic spring creates an unusual short hike in Star Valley.</x:v>
      </x:c>
      <x:c r="H480" s="16" t="str">
        <x:v>Nature</x:v>
      </x:c>
      <x:c r="I480" s="16" t="str">
        <x:v>https://www.google.com/search?q=Intermittent%20Spring%20Afton%20Wyoming%20official%20website</x:v>
      </x:c>
      <x:c r="J480" s="16" t="str">
        <x:v>https://www.google.com/search?q=site%3Atravelwyoming.com%20Intermittent%20Spring</x:v>
      </x:c>
      <x:c r="K480" s="16" t="str">
        <x:v>https://www.google.com/search?q=Intermittent%20Spring%20Afton%20Wyoming%20visitor%20information</x:v>
      </x:c>
      <x:c r="L480" s="16" t="str">
        <x:v>https://www.google.com/search?q=Intermittent%20Spring%20Afton%20Wyoming%20photos</x:v>
      </x:c>
      <x:c r="M480" s="16" t="str">
        <x:v>https://www.google.com/search?q=Intermittent%20Spring%20Afton%20Wyoming%20wikipedia%20OR%20wikivoyage</x:v>
      </x:c>
      <x:c r="N480" s="16" t="str">
        <x:v>https://www.google.com/maps/search/?api=1&amp;query=Intermittent%20Spring%2C%20Afton%2C%20Wyoming</x:v>
      </x:c>
      <x:c r="O480" s="17" t="b">
        <x:v>1</x:v>
      </x:c>
      <x:c r="P480" s="16" t="b">
        <x:f>IFERROR(VLOOKUP(A480,States!$A$2:$B$18,2,FALSE),FALSE)</x:f>
        <x:v>1</x:v>
      </x:c>
      <x:c r="Q480" s="16" t="b">
        <x:f>AND(OR(O480=TRUE,O480="TRUE"),OR(P480=TRUE,P480="TRUE"))</x:f>
        <x:v>1</x:v>
      </x:c>
    </x:row>
    <x:row r="481">
      <x:c r="A481" s="16" t="str">
        <x:v>Wyoming</x:v>
      </x:c>
      <x:c r="B481" s="16" t="str">
        <x:v>Jackson</x:v>
      </x:c>
      <x:c r="C481" s="16" t="n">
        <x:v>-110.762</x:v>
      </x:c>
      <x:c r="D481" s="16" t="n">
        <x:v>43.48</x:v>
      </x:c>
      <x:c r="E481" s="16" t="str">
        <x:v>Jackson Town Square</x:v>
      </x:c>
      <x:c r="F481" s="16" t="str">
        <x:v>Families, shoppers, first-time visitors</x:v>
      </x:c>
      <x:c r="G481" s="16" t="str">
        <x:v>Antler arches, galleries, and restaurants anchor the gateway town.</x:v>
      </x:c>
      <x:c r="H481" s="16" t="str">
        <x:v>Scenic Town</x:v>
      </x:c>
      <x:c r="I481" s="16" t="str">
        <x:v>https://www.google.com/search?q=Jackson%20Town%20Square%20Jackson%20Wyoming%20official%20website</x:v>
      </x:c>
      <x:c r="J481" s="16" t="str">
        <x:v>https://www.google.com/search?q=site%3Atravelwyoming.com%20Jackson%20Town%20Square</x:v>
      </x:c>
      <x:c r="K481" s="16" t="str">
        <x:v>https://www.google.com/search?q=Jackson%20Town%20Square%20Jackson%20Wyoming%20visitor%20information</x:v>
      </x:c>
      <x:c r="L481" s="16" t="str">
        <x:v>https://www.google.com/search?q=Jackson%20Town%20Square%20Jackson%20Wyoming%20photos</x:v>
      </x:c>
      <x:c r="M481" s="16" t="str">
        <x:v>https://www.google.com/search?q=Jackson%20Town%20Square%20Jackson%20Wyoming%20wikipedia%20OR%20wikivoyage</x:v>
      </x:c>
      <x:c r="N481" s="16" t="str">
        <x:v>https://www.google.com/maps/search/?api=1&amp;query=Jackson%20Town%20Square%2C%20Jackson%2C%20Wyoming</x:v>
      </x:c>
      <x:c r="O481" s="17" t="b">
        <x:v>1</x:v>
      </x:c>
      <x:c r="P481" s="16" t="b">
        <x:f>IFERROR(VLOOKUP(A481,States!$A$2:$B$18,2,FALSE),FALSE)</x:f>
        <x:v>1</x:v>
      </x:c>
      <x:c r="Q481" s="16" t="b">
        <x:f>AND(OR(O481=TRUE,O481="TRUE"),OR(P481=TRUE,P481="TRUE"))</x:f>
        <x:v>1</x:v>
      </x:c>
    </x:row>
    <x:row r="482">
      <x:c r="A482" s="16" t="str">
        <x:v>Idaho</x:v>
      </x:c>
      <x:c r="B482" s="16" t="str">
        <x:v>Boise</x:v>
      </x:c>
      <x:c r="C482" s="16" t="n">
        <x:v>-116.2</x:v>
      </x:c>
      <x:c r="D482" s="16" t="n">
        <x:v>43.608</x:v>
      </x:c>
      <x:c r="E482" s="16" t="str">
        <x:v>Idaho State Capitol</x:v>
      </x:c>
      <x:c r="F482" s="16" t="str">
        <x:v>Architecture fans, history travelers</x:v>
      </x:c>
      <x:c r="G482" s="16" t="str">
        <x:v>The marble-domed capitol anchors downtown Boise and state history.</x:v>
      </x:c>
      <x:c r="H482" s="16" t="str">
        <x:v>Architecture</x:v>
      </x:c>
      <x:c r="I482" s="16" t="str">
        <x:v>https://www.google.com/search?q=Idaho%20State%20Capitol%20Boise%20Idaho%20official%20website</x:v>
      </x:c>
      <x:c r="J482" s="16" t="str">
        <x:v>https://www.google.com/search?q=site%3Avisitidaho.org%20Idaho%20State%20Capitol</x:v>
      </x:c>
      <x:c r="K482" s="16" t="str">
        <x:v>https://www.google.com/search?q=Idaho%20State%20Capitol%20Boise%20Idaho%20visitor%20information</x:v>
      </x:c>
      <x:c r="L482" s="16" t="str">
        <x:v>https://www.google.com/search?q=Idaho%20State%20Capitol%20Boise%20Idaho%20photos</x:v>
      </x:c>
      <x:c r="M482" s="16" t="str">
        <x:v>https://www.google.com/search?q=Idaho%20State%20Capitol%20Boise%20Idaho%20wikipedia%20OR%20wikivoyage</x:v>
      </x:c>
      <x:c r="N482" s="16" t="str">
        <x:v>https://www.google.com/maps/search/?api=1&amp;query=Idaho%20State%20Capitol%2C%20Boise%2C%20Idaho</x:v>
      </x:c>
      <x:c r="O482" s="17" t="b">
        <x:v>1</x:v>
      </x:c>
      <x:c r="P482" s="16" t="b">
        <x:f>IFERROR(VLOOKUP(A482,States!$A$2:$B$18,2,FALSE),FALSE)</x:f>
        <x:v>1</x:v>
      </x:c>
      <x:c r="Q482" s="16" t="b">
        <x:f>AND(OR(O482=TRUE,O482="TRUE"),OR(P482=TRUE,P482="TRUE"))</x:f>
        <x:v>1</x:v>
      </x:c>
    </x:row>
    <x:row r="483">
      <x:c r="A483" s="16" t="str">
        <x:v>Idaho</x:v>
      </x:c>
      <x:c r="B483" s="16" t="str">
        <x:v>Pocatello</x:v>
      </x:c>
      <x:c r="C483" s="16" t="n">
        <x:v>-112.445</x:v>
      </x:c>
      <x:c r="D483" s="16" t="n">
        <x:v>42.861</x:v>
      </x:c>
      <x:c r="E483" s="16" t="str">
        <x:v>Museum of Clean</x:v>
      </x:c>
      <x:c r="F483" s="16" t="str">
        <x:v>Families, quirky-museum fans</x:v>
      </x:c>
      <x:c r="G483" s="16" t="str">
        <x:v>A playful museum turns cleaning history into unexpectedly memorable exhibits.</x:v>
      </x:c>
      <x:c r="H483" s="16" t="str">
        <x:v>Museum</x:v>
      </x:c>
      <x:c r="I483" s="16" t="str">
        <x:v>https://www.google.com/search?q=Museum%20of%20Clean%20Pocatello%20Idaho%20official%20website</x:v>
      </x:c>
      <x:c r="J483" s="16" t="str">
        <x:v>https://www.google.com/search?q=site%3Avisitidaho.org%20Museum%20of%20Clean</x:v>
      </x:c>
      <x:c r="K483" s="16" t="str">
        <x:v>https://www.google.com/search?q=Museum%20of%20Clean%20Pocatello%20Idaho%20visitor%20information</x:v>
      </x:c>
      <x:c r="L483" s="16" t="str">
        <x:v>https://www.google.com/search?q=Museum%20of%20Clean%20Pocatello%20Idaho%20photos</x:v>
      </x:c>
      <x:c r="M483" s="16" t="str">
        <x:v>https://www.google.com/search?q=Museum%20of%20Clean%20Pocatello%20Idaho%20wikipedia%20OR%20wikivoyage</x:v>
      </x:c>
      <x:c r="N483" s="16" t="str">
        <x:v>https://www.google.com/maps/search/?api=1&amp;query=Museum%20of%20Clean%2C%20Pocatello%2C%20Idaho</x:v>
      </x:c>
      <x:c r="O483" s="17" t="b">
        <x:v>1</x:v>
      </x:c>
      <x:c r="P483" s="16" t="b">
        <x:f>IFERROR(VLOOKUP(A483,States!$A$2:$B$18,2,FALSE),FALSE)</x:f>
        <x:v>1</x:v>
      </x:c>
      <x:c r="Q483" s="16" t="b">
        <x:f>AND(OR(O483=TRUE,O483="TRUE"),OR(P483=TRUE,P483="TRUE"))</x:f>
        <x:v>1</x:v>
      </x:c>
    </x:row>
    <x:row r="484">
      <x:c r="A484" s="16" t="str">
        <x:v>Idaho</x:v>
      </x:c>
      <x:c r="B484" s="16" t="str">
        <x:v>Idaho Falls</x:v>
      </x:c>
      <x:c r="C484" s="16" t="n">
        <x:v>-112.04</x:v>
      </x:c>
      <x:c r="D484" s="16" t="n">
        <x:v>43.492</x:v>
      </x:c>
      <x:c r="E484" s="16" t="str">
        <x:v>Idaho Falls River Walk</x:v>
      </x:c>
      <x:c r="F484" s="16" t="str">
        <x:v>Walkers, families, road trippers</x:v>
      </x:c>
      <x:c r="G484" s="16" t="str">
        <x:v>Waterfalls, art, and riverfront paths make a pleasant eastern Idaho pause.</x:v>
      </x:c>
      <x:c r="H484" s="16" t="str">
        <x:v>Waterfront</x:v>
      </x:c>
      <x:c r="I484" s="16" t="str">
        <x:v>https://www.google.com/search?q=Idaho%20Falls%20River%20Walk%20Idaho%20Falls%20Idaho%20official%20website</x:v>
      </x:c>
      <x:c r="J484" s="16" t="str">
        <x:v>https://www.google.com/search?q=site%3Avisitidaho.org%20Idaho%20Falls%20River%20Walk</x:v>
      </x:c>
      <x:c r="K484" s="16" t="str">
        <x:v>https://www.google.com/search?q=Idaho%20Falls%20River%20Walk%20Idaho%20Falls%20Idaho%20visitor%20information</x:v>
      </x:c>
      <x:c r="L484" s="16" t="str">
        <x:v>https://www.google.com/search?q=Idaho%20Falls%20River%20Walk%20Idaho%20Falls%20Idaho%20photos</x:v>
      </x:c>
      <x:c r="M484" s="16" t="str">
        <x:v>https://www.google.com/search?q=Idaho%20Falls%20River%20Walk%20Idaho%20Falls%20Idaho%20wikipedia%20OR%20wikivoyage</x:v>
      </x:c>
      <x:c r="N484" s="16" t="str">
        <x:v>https://www.google.com/maps/search/?api=1&amp;query=Idaho%20Falls%20River%20Walk%2C%20Idaho%20Falls%2C%20Idaho</x:v>
      </x:c>
      <x:c r="O484" s="17" t="b">
        <x:v>1</x:v>
      </x:c>
      <x:c r="P484" s="16" t="b">
        <x:f>IFERROR(VLOOKUP(A484,States!$A$2:$B$18,2,FALSE),FALSE)</x:f>
        <x:v>1</x:v>
      </x:c>
      <x:c r="Q484" s="16" t="b">
        <x:f>AND(OR(O484=TRUE,O484="TRUE"),OR(P484=TRUE,P484="TRUE"))</x:f>
        <x:v>1</x:v>
      </x:c>
    </x:row>
    <x:row r="485">
      <x:c r="A485" s="16" t="str">
        <x:v>Idaho</x:v>
      </x:c>
      <x:c r="B485" s="16" t="str">
        <x:v>McCall</x:v>
      </x:c>
      <x:c r="C485" s="16" t="n">
        <x:v>-116.096</x:v>
      </x:c>
      <x:c r="D485" s="16" t="n">
        <x:v>44.912</x:v>
      </x:c>
      <x:c r="E485" s="16" t="str">
        <x:v>Payette Lake</x:v>
      </x:c>
      <x:c r="F485" s="16" t="str">
        <x:v>Families, boaters, skiers</x:v>
      </x:c>
      <x:c r="G485" s="16" t="str">
        <x:v>A mountain lake town supports summer water fun and winter skiing.</x:v>
      </x:c>
      <x:c r="H485" s="16" t="str">
        <x:v>Waterfront</x:v>
      </x:c>
      <x:c r="I485" s="16" t="str">
        <x:v>https://www.google.com/search?q=Payette%20Lake%20McCall%20Idaho%20official%20website</x:v>
      </x:c>
      <x:c r="J485" s="16" t="str">
        <x:v>https://www.google.com/search?q=site%3Avisitidaho.org%20Payette%20Lake</x:v>
      </x:c>
      <x:c r="K485" s="16" t="str">
        <x:v>https://www.google.com/search?q=Payette%20Lake%20McCall%20Idaho%20visitor%20information</x:v>
      </x:c>
      <x:c r="L485" s="16" t="str">
        <x:v>https://www.google.com/search?q=Payette%20Lake%20McCall%20Idaho%20photos</x:v>
      </x:c>
      <x:c r="M485" s="16" t="str">
        <x:v>https://www.google.com/search?q=Payette%20Lake%20McCall%20Idaho%20wikipedia%20OR%20wikivoyage</x:v>
      </x:c>
      <x:c r="N485" s="16" t="str">
        <x:v>https://www.google.com/maps/search/?api=1&amp;query=Payette%20Lake%2C%20McCall%2C%20Idaho</x:v>
      </x:c>
      <x:c r="O485" s="17" t="b">
        <x:v>1</x:v>
      </x:c>
      <x:c r="P485" s="16" t="b">
        <x:f>IFERROR(VLOOKUP(A485,States!$A$2:$B$18,2,FALSE),FALSE)</x:f>
        <x:v>1</x:v>
      </x:c>
      <x:c r="Q485" s="16" t="b">
        <x:f>AND(OR(O485=TRUE,O485="TRUE"),OR(P485=TRUE,P485="TRUE"))</x:f>
        <x:v>1</x:v>
      </x:c>
    </x:row>
    <x:row r="486">
      <x:c r="A486" s="16" t="str">
        <x:v>Idaho</x:v>
      </x:c>
      <x:c r="B486" s="16" t="str">
        <x:v>Sandpoint</x:v>
      </x:c>
      <x:c r="C486" s="16" t="n">
        <x:v>-116.547</x:v>
      </x:c>
      <x:c r="D486" s="16" t="n">
        <x:v>48.276</x:v>
      </x:c>
      <x:c r="E486" s="16" t="str">
        <x:v>Lake Pend Oreille</x:v>
      </x:c>
      <x:c r="F486" s="16" t="str">
        <x:v>Boaters, families, scenic drivers</x:v>
      </x:c>
      <x:c r="G486" s="16" t="str">
        <x:v>Deep lake scenery and a lively town make a strong North Idaho stop.</x:v>
      </x:c>
      <x:c r="H486" s="16" t="str">
        <x:v>Waterfront</x:v>
      </x:c>
      <x:c r="I486" s="16" t="str">
        <x:v>https://www.google.com/search?q=Lake%20Pend%20Oreille%20Sandpoint%20Idaho%20official%20website</x:v>
      </x:c>
      <x:c r="J486" s="16" t="str">
        <x:v>https://www.google.com/search?q=site%3Avisitidaho.org%20Lake%20Pend%20Oreille</x:v>
      </x:c>
      <x:c r="K486" s="16" t="str">
        <x:v>https://www.google.com/search?q=Lake%20Pend%20Oreille%20Sandpoint%20Idaho%20visitor%20information</x:v>
      </x:c>
      <x:c r="L486" s="16" t="str">
        <x:v>https://www.google.com/search?q=Lake%20Pend%20Oreille%20Sandpoint%20Idaho%20photos</x:v>
      </x:c>
      <x:c r="M486" s="16" t="str">
        <x:v>https://www.google.com/search?q=Lake%20Pend%20Oreille%20Sandpoint%20Idaho%20wikipedia%20OR%20wikivoyage</x:v>
      </x:c>
      <x:c r="N486" s="16" t="str">
        <x:v>https://www.google.com/maps/search/?api=1&amp;query=Lake%20Pend%20Oreille%2C%20Sandpoint%2C%20Idaho</x:v>
      </x:c>
      <x:c r="O486" s="17" t="b">
        <x:v>1</x:v>
      </x:c>
      <x:c r="P486" s="16" t="b">
        <x:f>IFERROR(VLOOKUP(A486,States!$A$2:$B$18,2,FALSE),FALSE)</x:f>
        <x:v>1</x:v>
      </x:c>
      <x:c r="Q486" s="16" t="b">
        <x:f>AND(OR(O486=TRUE,O486="TRUE"),OR(P486=TRUE,P486="TRUE"))</x:f>
        <x:v>1</x:v>
      </x:c>
    </x:row>
    <x:row r="487">
      <x:c r="A487" s="16" t="str">
        <x:v>Idaho</x:v>
      </x:c>
      <x:c r="B487" s="16" t="str">
        <x:v>Bonners Ferry</x:v>
      </x:c>
      <x:c r="C487" s="16" t="n">
        <x:v>-116.404</x:v>
      </x:c>
      <x:c r="D487" s="16" t="n">
        <x:v>48.736</x:v>
      </x:c>
      <x:c r="E487" s="16" t="str">
        <x:v>Kootenai National Wildlife Refuge</x:v>
      </x:c>
      <x:c r="F487" s="16" t="str">
        <x:v>Birders, photographers, families</x:v>
      </x:c>
      <x:c r="G487" s="16" t="str">
        <x:v>Wetlands and mountain backdrops offer easy wildlife viewing.</x:v>
      </x:c>
      <x:c r="H487" s="16" t="str">
        <x:v>Wildlife</x:v>
      </x:c>
      <x:c r="I487" s="16" t="str">
        <x:v>https://www.google.com/search?q=Kootenai%20National%20Wildlife%20Refuge%20Bonners%20Ferry%20Idaho%20official%20website</x:v>
      </x:c>
      <x:c r="J487" s="16" t="str">
        <x:v>https://www.google.com/search?q=site%3Avisitidaho.org%20Kootenai%20National%20Wildlife%20Refuge</x:v>
      </x:c>
      <x:c r="K487" s="16" t="str">
        <x:v>https://www.google.com/search?q=Kootenai%20National%20Wildlife%20Refuge%20Bonners%20Ferry%20Idaho%20visitor%20information</x:v>
      </x:c>
      <x:c r="L487" s="16" t="str">
        <x:v>https://www.google.com/search?q=Kootenai%20National%20Wildlife%20Refuge%20Bonners%20Ferry%20Idaho%20photos</x:v>
      </x:c>
      <x:c r="M487" s="16" t="str">
        <x:v>https://www.google.com/search?q=Kootenai%20National%20Wildlife%20Refuge%20Bonners%20Ferry%20Idaho%20wikipedia%20OR%20wikivoyage</x:v>
      </x:c>
      <x:c r="N487" s="16" t="str">
        <x:v>https://www.google.com/maps/search/?api=1&amp;query=Kootenai%20National%20Wildlife%20Refuge%2C%20Bonners%20Ferry%2C%20Idaho</x:v>
      </x:c>
      <x:c r="O487" s="17" t="b">
        <x:v>1</x:v>
      </x:c>
      <x:c r="P487" s="16" t="b">
        <x:f>IFERROR(VLOOKUP(A487,States!$A$2:$B$18,2,FALSE),FALSE)</x:f>
        <x:v>1</x:v>
      </x:c>
      <x:c r="Q487" s="16" t="b">
        <x:f>AND(OR(O487=TRUE,O487="TRUE"),OR(P487=TRUE,P487="TRUE"))</x:f>
        <x:v>1</x:v>
      </x:c>
    </x:row>
    <x:row r="488">
      <x:c r="A488" s="16" t="str">
        <x:v>Idaho</x:v>
      </x:c>
      <x:c r="B488" s="16" t="str">
        <x:v>Salmon</x:v>
      </x:c>
      <x:c r="C488" s="16" t="n">
        <x:v>-113.897</x:v>
      </x:c>
      <x:c r="D488" s="16" t="n">
        <x:v>45.176</x:v>
      </x:c>
      <x:c r="E488" s="16" t="str">
        <x:v>Sacajawea Interpretive, Cultural and Educational Center</x:v>
      </x:c>
      <x:c r="F488" s="16" t="str">
        <x:v>History travelers, families</x:v>
      </x:c>
      <x:c r="G488" s="16" t="str">
        <x:v>Exhibits connect Lemhi Shoshone culture with Lewis and Clark history.</x:v>
      </x:c>
      <x:c r="H488" s="16" t="str">
        <x:v>Cultural Site</x:v>
      </x:c>
      <x:c r="I488" s="16" t="str">
        <x:v>https://www.google.com/search?q=Sacajawea%20Interpretive%2C%20Cultural%20and%20Educational%20Center%20Salmon%20Idaho%20official%20website</x:v>
      </x:c>
      <x:c r="J488" s="16" t="str">
        <x:v>https://www.google.com/search?q=site%3Avisitidaho.org%20Sacajawea%20Interpretive%2C%20Cultural%20and%20Educational%20Center</x:v>
      </x:c>
      <x:c r="K488" s="16" t="str">
        <x:v>https://www.google.com/search?q=Sacajawea%20Interpretive%2C%20Cultural%20and%20Educational%20Center%20Salmon%20Idaho%20visitor%20information</x:v>
      </x:c>
      <x:c r="L488" s="16" t="str">
        <x:v>https://www.google.com/search?q=Sacajawea%20Interpretive%2C%20Cultural%20and%20Educational%20Center%20Salmon%20Idaho%20photos</x:v>
      </x:c>
      <x:c r="M488" s="16" t="str">
        <x:v>https://www.google.com/search?q=Sacajawea%20Interpretive%2C%20Cultural%20and%20Educational%20Center%20Salmon%20Idaho%20wikipedia%20OR%20wikivoyage</x:v>
      </x:c>
      <x:c r="N488" s="16" t="str">
        <x:v>https://www.google.com/maps/search/?api=1&amp;query=Sacajawea%20Interpretive%2C%20Cultural%20and%20Educational%20Center%2C%20Salmon%2C%20Idaho</x:v>
      </x:c>
      <x:c r="O488" s="17" t="b">
        <x:v>1</x:v>
      </x:c>
      <x:c r="P488" s="16" t="b">
        <x:f>IFERROR(VLOOKUP(A488,States!$A$2:$B$18,2,FALSE),FALSE)</x:f>
        <x:v>1</x:v>
      </x:c>
      <x:c r="Q488" s="16" t="b">
        <x:f>AND(OR(O488=TRUE,O488="TRUE"),OR(P488=TRUE,P488="TRUE"))</x:f>
        <x:v>1</x:v>
      </x:c>
    </x:row>
    <x:row r="489">
      <x:c r="A489" s="16" t="str">
        <x:v>Idaho</x:v>
      </x:c>
      <x:c r="B489" s="16" t="str">
        <x:v>Boise</x:v>
      </x:c>
      <x:c r="C489" s="16" t="n">
        <x:v>-116.212</x:v>
      </x:c>
      <x:c r="D489" s="16" t="n">
        <x:v>43.611</x:v>
      </x:c>
      <x:c r="E489" s="16" t="str">
        <x:v>Basque Block</x:v>
      </x:c>
      <x:c r="F489" s="16" t="str">
        <x:v>Food lovers, culture travelers</x:v>
      </x:c>
      <x:c r="G489" s="16" t="str">
        <x:v>Restaurants, museums, and festivals highlight Boise's Basque heritage.</x:v>
      </x:c>
      <x:c r="H489" s="16" t="str">
        <x:v>Cultural Site</x:v>
      </x:c>
      <x:c r="I489" s="16" t="str">
        <x:v>https://www.google.com/search?q=Basque%20Block%20Boise%20Idaho%20official%20website</x:v>
      </x:c>
      <x:c r="J489" s="16" t="str">
        <x:v>https://www.google.com/search?q=site%3Avisitidaho.org%20Basque%20Block</x:v>
      </x:c>
      <x:c r="K489" s="16" t="str">
        <x:v>https://www.google.com/search?q=Basque%20Block%20Boise%20Idaho%20visitor%20information</x:v>
      </x:c>
      <x:c r="L489" s="16" t="str">
        <x:v>https://www.google.com/search?q=Basque%20Block%20Boise%20Idaho%20photos</x:v>
      </x:c>
      <x:c r="M489" s="16" t="str">
        <x:v>https://www.google.com/search?q=Basque%20Block%20Boise%20Idaho%20wikipedia%20OR%20wikivoyage</x:v>
      </x:c>
      <x:c r="N489" s="16" t="str">
        <x:v>https://www.google.com/maps/search/?api=1&amp;query=Basque%20Block%2C%20Boise%2C%20Idaho</x:v>
      </x:c>
      <x:c r="O489" s="17" t="b">
        <x:v>1</x:v>
      </x:c>
      <x:c r="P489" s="16" t="b">
        <x:f>IFERROR(VLOOKUP(A489,States!$A$2:$B$18,2,FALSE),FALSE)</x:f>
        <x:v>1</x:v>
      </x:c>
      <x:c r="Q489" s="16" t="b">
        <x:f>AND(OR(O489=TRUE,O489="TRUE"),OR(P489=TRUE,P489="TRUE"))</x:f>
        <x:v>1</x:v>
      </x:c>
    </x:row>
    <x:row r="490">
      <x:c r="A490" s="16" t="str">
        <x:v>Idaho</x:v>
      </x:c>
      <x:c r="B490" s="16" t="str">
        <x:v>Idaho City</x:v>
      </x:c>
      <x:c r="C490" s="16" t="n">
        <x:v>-115.834</x:v>
      </x:c>
      <x:c r="D490" s="16" t="n">
        <x:v>43.828</x:v>
      </x:c>
      <x:c r="E490" s="16" t="str">
        <x:v>Idaho City Historic District</x:v>
      </x:c>
      <x:c r="F490" s="16" t="str">
        <x:v>History travelers, scenic drivers</x:v>
      </x:c>
      <x:c r="G490" s="16" t="str">
        <x:v>Gold-rush buildings and mountain roads make an easy Boise-area detour.</x:v>
      </x:c>
      <x:c r="H490" s="16" t="str">
        <x:v>Historic Site</x:v>
      </x:c>
      <x:c r="I490" s="16" t="str">
        <x:v>https://www.google.com/search?q=Idaho%20City%20Historic%20District%20Idaho%20City%20Idaho%20official%20website</x:v>
      </x:c>
      <x:c r="J490" s="16" t="str">
        <x:v>https://www.google.com/search?q=site%3Avisitidaho.org%20Idaho%20City%20Historic%20District</x:v>
      </x:c>
      <x:c r="K490" s="16" t="str">
        <x:v>https://www.google.com/search?q=Idaho%20City%20Historic%20District%20Idaho%20City%20Idaho%20visitor%20information</x:v>
      </x:c>
      <x:c r="L490" s="16" t="str">
        <x:v>https://www.google.com/search?q=Idaho%20City%20Historic%20District%20Idaho%20City%20Idaho%20photos</x:v>
      </x:c>
      <x:c r="M490" s="16" t="str">
        <x:v>https://www.google.com/search?q=Idaho%20City%20Historic%20District%20Idaho%20City%20Idaho%20wikipedia%20OR%20wikivoyage</x:v>
      </x:c>
      <x:c r="N490" s="16" t="str">
        <x:v>https://www.google.com/maps/search/?api=1&amp;query=Idaho%20City%20Historic%20District%2C%20Idaho%20City%2C%20Idaho</x:v>
      </x:c>
      <x:c r="O490" s="17" t="b">
        <x:v>1</x:v>
      </x:c>
      <x:c r="P490" s="16" t="b">
        <x:f>IFERROR(VLOOKUP(A490,States!$A$2:$B$18,2,FALSE),FALSE)</x:f>
        <x:v>1</x:v>
      </x:c>
      <x:c r="Q490" s="16" t="b">
        <x:f>AND(OR(O490=TRUE,O490="TRUE"),OR(P490=TRUE,P490="TRUE"))</x:f>
        <x:v>1</x:v>
      </x:c>
    </x:row>
    <x:row r="491">
      <x:c r="A491" s="16" t="str">
        <x:v>Idaho</x:v>
      </x:c>
      <x:c r="B491" s="16" t="str">
        <x:v>Stanley</x:v>
      </x:c>
      <x:c r="C491" s="16" t="n">
        <x:v>-115.057</x:v>
      </x:c>
      <x:c r="D491" s="16" t="n">
        <x:v>44.243</x:v>
      </x:c>
      <x:c r="E491" s="16" t="str">
        <x:v>Redfish Lake</x:v>
      </x:c>
      <x:c r="F491" s="16" t="str">
        <x:v>Families, hikers, paddlers</x:v>
      </x:c>
      <x:c r="G491" s="16" t="str">
        <x:v>Clear water below the Sawtooths creates a postcard mountain-lake stop.</x:v>
      </x:c>
      <x:c r="H491" s="16" t="str">
        <x:v>Waterfront</x:v>
      </x:c>
      <x:c r="I491" s="16" t="str">
        <x:v>https://www.google.com/search?q=Redfish%20Lake%20Stanley%20Idaho%20official%20website</x:v>
      </x:c>
      <x:c r="J491" s="16" t="str">
        <x:v>https://www.google.com/search?q=site%3Avisitidaho.org%20Redfish%20Lake</x:v>
      </x:c>
      <x:c r="K491" s="16" t="str">
        <x:v>https://www.google.com/search?q=Redfish%20Lake%20Stanley%20Idaho%20visitor%20information</x:v>
      </x:c>
      <x:c r="L491" s="16" t="str">
        <x:v>https://www.google.com/search?q=Redfish%20Lake%20Stanley%20Idaho%20photos</x:v>
      </x:c>
      <x:c r="M491" s="16" t="str">
        <x:v>https://www.google.com/search?q=Redfish%20Lake%20Stanley%20Idaho%20wikipedia%20OR%20wikivoyage</x:v>
      </x:c>
      <x:c r="N491" s="16" t="str">
        <x:v>https://www.google.com/maps/search/?api=1&amp;query=Redfish%20Lake%2C%20Stanley%2C%20Idaho</x:v>
      </x:c>
      <x:c r="O491" s="17" t="b">
        <x:v>1</x:v>
      </x:c>
      <x:c r="P491" s="16" t="b">
        <x:f>IFERROR(VLOOKUP(A491,States!$A$2:$B$18,2,FALSE),FALSE)</x:f>
        <x:v>1</x:v>
      </x:c>
      <x:c r="Q491" s="16" t="b">
        <x:f>AND(OR(O491=TRUE,O491="TRUE"),OR(P491=TRUE,P491="TRUE"))</x:f>
        <x:v>1</x:v>
      </x:c>
    </x:row>
    <x:row r="492">
      <x:c r="A492" s="16" t="str">
        <x:v>Washington</x:v>
      </x:c>
      <x:c r="B492" s="16" t="str">
        <x:v>Spokane</x:v>
      </x:c>
      <x:c r="C492" s="16" t="n">
        <x:v>-117.421</x:v>
      </x:c>
      <x:c r="D492" s="16" t="n">
        <x:v>47.66</x:v>
      </x:c>
      <x:c r="E492" s="16" t="str">
        <x:v>Riverfront Park</x:v>
      </x:c>
      <x:c r="F492" s="16" t="str">
        <x:v>Families, walkers, city explorers</x:v>
      </x:c>
      <x:c r="G492" s="16" t="str">
        <x:v>Falls, paths, art, and a carousel anchor downtown Spokane.</x:v>
      </x:c>
      <x:c r="H492" s="16" t="str">
        <x:v>Urban Park</x:v>
      </x:c>
      <x:c r="I492" s="16" t="str">
        <x:v>https://www.google.com/search?q=Riverfront%20Park%20Spokane%20Washington%20official%20website</x:v>
      </x:c>
      <x:c r="J492" s="16" t="str">
        <x:v>https://www.google.com/search?q=site%3Astateofwatourism.com%20Riverfront%20Park</x:v>
      </x:c>
      <x:c r="K492" s="16" t="str">
        <x:v>https://www.google.com/search?q=Riverfront%20Park%20Spokane%20Washington%20visitor%20information</x:v>
      </x:c>
      <x:c r="L492" s="16" t="str">
        <x:v>https://www.google.com/search?q=Riverfront%20Park%20Spokane%20Washington%20photos</x:v>
      </x:c>
      <x:c r="M492" s="16" t="str">
        <x:v>https://www.google.com/search?q=Riverfront%20Park%20Spokane%20Washington%20wikipedia%20OR%20wikivoyage</x:v>
      </x:c>
      <x:c r="N492" s="16" t="str">
        <x:v>https://www.google.com/maps/search/?api=1&amp;query=Riverfront%20Park%2C%20Spokane%2C%20Washington</x:v>
      </x:c>
      <x:c r="O492" s="17" t="b">
        <x:v>1</x:v>
      </x:c>
      <x:c r="P492" s="16" t="b">
        <x:f>IFERROR(VLOOKUP(A492,States!$A$2:$B$18,2,FALSE),FALSE)</x:f>
        <x:v>1</x:v>
      </x:c>
      <x:c r="Q492" s="16" t="b">
        <x:f>AND(OR(O492=TRUE,O492="TRUE"),OR(P492=TRUE,P492="TRUE"))</x:f>
        <x:v>1</x:v>
      </x:c>
    </x:row>
    <x:row r="493">
      <x:c r="A493" s="16" t="str">
        <x:v>Washington</x:v>
      </x:c>
      <x:c r="B493" s="16" t="str">
        <x:v>Spokane</x:v>
      </x:c>
      <x:c r="C493" s="16" t="n">
        <x:v>-117.467</x:v>
      </x:c>
      <x:c r="D493" s="16" t="n">
        <x:v>47.657</x:v>
      </x:c>
      <x:c r="E493" s="16" t="str">
        <x:v>Northwest Museum of Arts and Culture</x:v>
      </x:c>
      <x:c r="F493" s="16" t="str">
        <x:v>Art lovers, history travelers</x:v>
      </x:c>
      <x:c r="G493" s="16" t="str">
        <x:v>Regional art and Inland Northwest history add context to Spokane.</x:v>
      </x:c>
      <x:c r="H493" s="16" t="str">
        <x:v>Museum</x:v>
      </x:c>
      <x:c r="I493" s="16" t="str">
        <x:v>https://www.google.com/search?q=Northwest%20Museum%20of%20Arts%20and%20Culture%20Spokane%20Washington%20official%20website</x:v>
      </x:c>
      <x:c r="J493" s="16" t="str">
        <x:v>https://www.google.com/search?q=site%3Astateofwatourism.com%20Northwest%20Museum%20of%20Arts%20and%20Culture</x:v>
      </x:c>
      <x:c r="K493" s="16" t="str">
        <x:v>https://www.google.com/search?q=Northwest%20Museum%20of%20Arts%20and%20Culture%20Spokane%20Washington%20visitor%20information</x:v>
      </x:c>
      <x:c r="L493" s="16" t="str">
        <x:v>https://www.google.com/search?q=Northwest%20Museum%20of%20Arts%20and%20Culture%20Spokane%20Washington%20photos</x:v>
      </x:c>
      <x:c r="M493" s="16" t="str">
        <x:v>https://www.google.com/search?q=Northwest%20Museum%20of%20Arts%20and%20Culture%20Spokane%20Washington%20wikipedia%20OR%20wikivoyage</x:v>
      </x:c>
      <x:c r="N493" s="16" t="str">
        <x:v>https://www.google.com/maps/search/?api=1&amp;query=Northwest%20Museum%20of%20Arts%20and%20Culture%2C%20Spokane%2C%20Washington</x:v>
      </x:c>
      <x:c r="O493" s="17" t="b">
        <x:v>1</x:v>
      </x:c>
      <x:c r="P493" s="16" t="b">
        <x:f>IFERROR(VLOOKUP(A493,States!$A$2:$B$18,2,FALSE),FALSE)</x:f>
        <x:v>1</x:v>
      </x:c>
      <x:c r="Q493" s="16" t="b">
        <x:f>AND(OR(O493=TRUE,O493="TRUE"),OR(P493=TRUE,P493="TRUE"))</x:f>
        <x:v>1</x:v>
      </x:c>
    </x:row>
    <x:row r="494">
      <x:c r="A494" s="16" t="str">
        <x:v>Washington</x:v>
      </x:c>
      <x:c r="B494" s="16" t="str">
        <x:v>Tacoma</x:v>
      </x:c>
      <x:c r="C494" s="16" t="n">
        <x:v>-122.436</x:v>
      </x:c>
      <x:c r="D494" s="16" t="n">
        <x:v>47.246</x:v>
      </x:c>
      <x:c r="E494" s="16" t="str">
        <x:v>Museum of Glass</x:v>
      </x:c>
      <x:c r="F494" s="16" t="str">
        <x:v>Art lovers, families</x:v>
      </x:c>
      <x:c r="G494" s="16" t="str">
        <x:v>Live glassmaking and waterfront exhibits connect Tacoma to studio-glass art.</x:v>
      </x:c>
      <x:c r="H494" s="16" t="str">
        <x:v>Museum</x:v>
      </x:c>
      <x:c r="I494" s="16" t="str">
        <x:v>https://www.google.com/search?q=Museum%20of%20Glass%20Tacoma%20Washington%20official%20website</x:v>
      </x:c>
      <x:c r="J494" s="16" t="str">
        <x:v>https://www.google.com/search?q=site%3Astateofwatourism.com%20Museum%20of%20Glass</x:v>
      </x:c>
      <x:c r="K494" s="16" t="str">
        <x:v>https://www.google.com/search?q=Museum%20of%20Glass%20Tacoma%20Washington%20visitor%20information</x:v>
      </x:c>
      <x:c r="L494" s="16" t="str">
        <x:v>https://www.google.com/search?q=Museum%20of%20Glass%20Tacoma%20Washington%20photos</x:v>
      </x:c>
      <x:c r="M494" s="16" t="str">
        <x:v>https://www.google.com/search?q=Museum%20of%20Glass%20Tacoma%20Washington%20wikipedia%20OR%20wikivoyage</x:v>
      </x:c>
      <x:c r="N494" s="16" t="str">
        <x:v>https://www.google.com/maps/search/?api=1&amp;query=Museum%20of%20Glass%2C%20Tacoma%2C%20Washington</x:v>
      </x:c>
      <x:c r="O494" s="17" t="b">
        <x:v>1</x:v>
      </x:c>
      <x:c r="P494" s="16" t="b">
        <x:f>IFERROR(VLOOKUP(A494,States!$A$2:$B$18,2,FALSE),FALSE)</x:f>
        <x:v>1</x:v>
      </x:c>
      <x:c r="Q494" s="16" t="b">
        <x:f>AND(OR(O494=TRUE,O494="TRUE"),OR(P494=TRUE,P494="TRUE"))</x:f>
        <x:v>1</x:v>
      </x:c>
    </x:row>
    <x:row r="495">
      <x:c r="A495" s="16" t="str">
        <x:v>Washington</x:v>
      </x:c>
      <x:c r="B495" s="16" t="str">
        <x:v>Tacoma</x:v>
      </x:c>
      <x:c r="C495" s="16" t="n">
        <x:v>-122.439</x:v>
      </x:c>
      <x:c r="D495" s="16" t="n">
        <x:v>47.236</x:v>
      </x:c>
      <x:c r="E495" s="16" t="str">
        <x:v>Point Defiance Zoo and Aquarium</x:v>
      </x:c>
      <x:c r="F495" s="16" t="str">
        <x:v>Families, animal lovers</x:v>
      </x:c>
      <x:c r="G495" s="16" t="str">
        <x:v>Zoo, aquarium, gardens, and waterfront parkland fill a full outing.</x:v>
      </x:c>
      <x:c r="H495" s="16" t="str">
        <x:v>Zoo/Aquarium</x:v>
      </x:c>
      <x:c r="I495" s="16" t="str">
        <x:v>https://www.google.com/search?q=Point%20Defiance%20Zoo%20and%20Aquarium%20Tacoma%20Washington%20official%20website</x:v>
      </x:c>
      <x:c r="J495" s="16" t="str">
        <x:v>https://www.google.com/search?q=site%3Astateofwatourism.com%20Point%20Defiance%20Zoo%20and%20Aquarium</x:v>
      </x:c>
      <x:c r="K495" s="16" t="str">
        <x:v>https://www.google.com/search?q=Point%20Defiance%20Zoo%20and%20Aquarium%20Tacoma%20Washington%20visitor%20information</x:v>
      </x:c>
      <x:c r="L495" s="16" t="str">
        <x:v>https://www.google.com/search?q=Point%20Defiance%20Zoo%20and%20Aquarium%20Tacoma%20Washington%20photos</x:v>
      </x:c>
      <x:c r="M495" s="16" t="str">
        <x:v>https://www.google.com/search?q=Point%20Defiance%20Zoo%20and%20Aquarium%20Tacoma%20Washington%20wikipedia%20OR%20wikivoyage</x:v>
      </x:c>
      <x:c r="N495" s="16" t="str">
        <x:v>https://www.google.com/maps/search/?api=1&amp;query=Point%20Defiance%20Zoo%20and%20Aquarium%2C%20Tacoma%2C%20Washington</x:v>
      </x:c>
      <x:c r="O495" s="17" t="b">
        <x:v>1</x:v>
      </x:c>
      <x:c r="P495" s="16" t="b">
        <x:f>IFERROR(VLOOKUP(A495,States!$A$2:$B$18,2,FALSE),FALSE)</x:f>
        <x:v>1</x:v>
      </x:c>
      <x:c r="Q495" s="16" t="b">
        <x:f>AND(OR(O495=TRUE,O495="TRUE"),OR(P495=TRUE,P495="TRUE"))</x:f>
        <x:v>1</x:v>
      </x:c>
    </x:row>
    <x:row r="496">
      <x:c r="A496" s="16" t="str">
        <x:v>Washington</x:v>
      </x:c>
      <x:c r="B496" s="16" t="str">
        <x:v>Everett</x:v>
      </x:c>
      <x:c r="C496" s="16" t="n">
        <x:v>-122.281</x:v>
      </x:c>
      <x:c r="D496" s="16" t="n">
        <x:v>47.982</x:v>
      </x:c>
      <x:c r="E496" s="16" t="str">
        <x:v>Flying Heritage and Combat Armor Museum</x:v>
      </x:c>
      <x:c r="F496" s="16" t="str">
        <x:v>Aviation fans, military-history fans</x:v>
      </x:c>
      <x:c r="G496" s="16" t="str">
        <x:v>Historic aircraft and armor make a substantial Puget Sound museum stop.</x:v>
      </x:c>
      <x:c r="H496" s="16" t="str">
        <x:v>Museum</x:v>
      </x:c>
      <x:c r="I496" s="16" t="str">
        <x:v>https://www.google.com/search?q=Flying%20Heritage%20and%20Combat%20Armor%20Museum%20Everett%20Washington%20official%20website</x:v>
      </x:c>
      <x:c r="J496" s="16" t="str">
        <x:v>https://www.google.com/search?q=site%3Astateofwatourism.com%20Flying%20Heritage%20and%20Combat%20Armor%20Museum</x:v>
      </x:c>
      <x:c r="K496" s="16" t="str">
        <x:v>https://www.google.com/search?q=Flying%20Heritage%20and%20Combat%20Armor%20Museum%20Everett%20Washington%20visitor%20information</x:v>
      </x:c>
      <x:c r="L496" s="16" t="str">
        <x:v>https://www.google.com/search?q=Flying%20Heritage%20and%20Combat%20Armor%20Museum%20Everett%20Washington%20photos</x:v>
      </x:c>
      <x:c r="M496" s="16" t="str">
        <x:v>https://www.google.com/search?q=Flying%20Heritage%20and%20Combat%20Armor%20Museum%20Everett%20Washington%20wikipedia%20OR%20wikivoyage</x:v>
      </x:c>
      <x:c r="N496" s="16" t="str">
        <x:v>https://www.google.com/maps/search/?api=1&amp;query=Flying%20Heritage%20and%20Combat%20Armor%20Museum%2C%20Everett%2C%20Washington</x:v>
      </x:c>
      <x:c r="O496" s="17" t="b">
        <x:v>1</x:v>
      </x:c>
      <x:c r="P496" s="16" t="b">
        <x:f>IFERROR(VLOOKUP(A496,States!$A$2:$B$18,2,FALSE),FALSE)</x:f>
        <x:v>1</x:v>
      </x:c>
      <x:c r="Q496" s="16" t="b">
        <x:f>AND(OR(O496=TRUE,O496="TRUE"),OR(P496=TRUE,P496="TRUE"))</x:f>
        <x:v>1</x:v>
      </x:c>
    </x:row>
    <x:row r="497">
      <x:c r="A497" s="16" t="str">
        <x:v>Washington</x:v>
      </x:c>
      <x:c r="B497" s="16" t="str">
        <x:v>Bellingham</x:v>
      </x:c>
      <x:c r="C497" s="16" t="n">
        <x:v>-122.478</x:v>
      </x:c>
      <x:c r="D497" s="16" t="n">
        <x:v>48.751</x:v>
      </x:c>
      <x:c r="E497" s="16" t="str">
        <x:v>Chuckanut Drive</x:v>
      </x:c>
      <x:c r="F497" s="16" t="str">
        <x:v>Scenic drivers, cyclists, food lovers</x:v>
      </x:c>
      <x:c r="G497" s="16" t="str">
        <x:v>A coastal road links cliffs, forests, islands views, and oyster stops.</x:v>
      </x:c>
      <x:c r="H497" s="16" t="str">
        <x:v>Scenic Drive</x:v>
      </x:c>
      <x:c r="I497" s="16" t="str">
        <x:v>https://www.google.com/search?q=Chuckanut%20Drive%20Bellingham%20Washington%20official%20website</x:v>
      </x:c>
      <x:c r="J497" s="16" t="str">
        <x:v>https://www.google.com/search?q=site%3Astateofwatourism.com%20Chuckanut%20Drive</x:v>
      </x:c>
      <x:c r="K497" s="16" t="str">
        <x:v>https://www.google.com/search?q=Chuckanut%20Drive%20Bellingham%20Washington%20visitor%20information</x:v>
      </x:c>
      <x:c r="L497" s="16" t="str">
        <x:v>https://www.google.com/search?q=Chuckanut%20Drive%20Bellingham%20Washington%20photos</x:v>
      </x:c>
      <x:c r="M497" s="16" t="str">
        <x:v>https://www.google.com/search?q=Chuckanut%20Drive%20Bellingham%20Washington%20wikipedia%20OR%20wikivoyage</x:v>
      </x:c>
      <x:c r="N497" s="16" t="str">
        <x:v>https://www.google.com/maps/search/?api=1&amp;query=Chuckanut%20Drive%2C%20Bellingham%2C%20Washington</x:v>
      </x:c>
      <x:c r="O497" s="17" t="b">
        <x:v>1</x:v>
      </x:c>
      <x:c r="P497" s="16" t="b">
        <x:f>IFERROR(VLOOKUP(A497,States!$A$2:$B$18,2,FALSE),FALSE)</x:f>
        <x:v>1</x:v>
      </x:c>
      <x:c r="Q497" s="16" t="b">
        <x:f>AND(OR(O497=TRUE,O497="TRUE"),OR(P497=TRUE,P497="TRUE"))</x:f>
        <x:v>1</x:v>
      </x:c>
    </x:row>
    <x:row r="498">
      <x:c r="A498" s="16" t="str">
        <x:v>Washington</x:v>
      </x:c>
      <x:c r="B498" s="16" t="str">
        <x:v>Vancouver</x:v>
      </x:c>
      <x:c r="C498" s="16" t="n">
        <x:v>-122.676</x:v>
      </x:c>
      <x:c r="D498" s="16" t="n">
        <x:v>45.628</x:v>
      </x:c>
      <x:c r="E498" s="16" t="str">
        <x:v>Vancouver Waterfront</x:v>
      </x:c>
      <x:c r="F498" s="16" t="str">
        <x:v>Walkers, food lovers, river travelers</x:v>
      </x:c>
      <x:c r="G498" s="16" t="str">
        <x:v>Restaurants and paths face the Columbia River near Fort Vancouver.</x:v>
      </x:c>
      <x:c r="H498" s="16" t="str">
        <x:v>Waterfront</x:v>
      </x:c>
      <x:c r="I498" s="16" t="str">
        <x:v>https://www.google.com/search?q=Vancouver%20Waterfront%20Vancouver%20Washington%20official%20website</x:v>
      </x:c>
      <x:c r="J498" s="16" t="str">
        <x:v>https://www.google.com/search?q=site%3Astateofwatourism.com%20Vancouver%20Waterfront</x:v>
      </x:c>
      <x:c r="K498" s="16" t="str">
        <x:v>https://www.google.com/search?q=Vancouver%20Waterfront%20Vancouver%20Washington%20visitor%20information</x:v>
      </x:c>
      <x:c r="L498" s="16" t="str">
        <x:v>https://www.google.com/search?q=Vancouver%20Waterfront%20Vancouver%20Washington%20photos</x:v>
      </x:c>
      <x:c r="M498" s="16" t="str">
        <x:v>https://www.google.com/search?q=Vancouver%20Waterfront%20Vancouver%20Washington%20wikipedia%20OR%20wikivoyage</x:v>
      </x:c>
      <x:c r="N498" s="16" t="str">
        <x:v>https://www.google.com/maps/search/?api=1&amp;query=Vancouver%20Waterfront%2C%20Vancouver%2C%20Washington</x:v>
      </x:c>
      <x:c r="O498" s="17" t="b">
        <x:v>1</x:v>
      </x:c>
      <x:c r="P498" s="16" t="b">
        <x:f>IFERROR(VLOOKUP(A498,States!$A$2:$B$18,2,FALSE),FALSE)</x:f>
        <x:v>1</x:v>
      </x:c>
      <x:c r="Q498" s="16" t="b">
        <x:f>AND(OR(O498=TRUE,O498="TRUE"),OR(P498=TRUE,P498="TRUE"))</x:f>
        <x:v>1</x:v>
      </x:c>
    </x:row>
    <x:row r="499">
      <x:c r="A499" s="16" t="str">
        <x:v>Washington</x:v>
      </x:c>
      <x:c r="B499" s="16" t="str">
        <x:v>Mount Vernon</x:v>
      </x:c>
      <x:c r="C499" s="16" t="n">
        <x:v>-122.37</x:v>
      </x:c>
      <x:c r="D499" s="16" t="n">
        <x:v>48.421</x:v>
      </x:c>
      <x:c r="E499" s="16" t="str">
        <x:v>Skagit Valley Tulip Fields</x:v>
      </x:c>
      <x:c r="F499" s="16" t="str">
        <x:v>Garden lovers, photographers</x:v>
      </x:c>
      <x:c r="G499" s="16" t="str">
        <x:v>Spring tulip fields create vivid color below Cascade views.</x:v>
      </x:c>
      <x:c r="H499" s="16" t="str">
        <x:v>Garden</x:v>
      </x:c>
      <x:c r="I499" s="16" t="str">
        <x:v>https://www.google.com/search?q=Skagit%20Valley%20Tulip%20Fields%20Mount%20Vernon%20Washington%20official%20website</x:v>
      </x:c>
      <x:c r="J499" s="16" t="str">
        <x:v>https://www.google.com/search?q=site%3Astateofwatourism.com%20Skagit%20Valley%20Tulip%20Fields</x:v>
      </x:c>
      <x:c r="K499" s="16" t="str">
        <x:v>https://www.google.com/search?q=Skagit%20Valley%20Tulip%20Fields%20Mount%20Vernon%20Washington%20visitor%20information</x:v>
      </x:c>
      <x:c r="L499" s="16" t="str">
        <x:v>https://www.google.com/search?q=Skagit%20Valley%20Tulip%20Fields%20Mount%20Vernon%20Washington%20photos</x:v>
      </x:c>
      <x:c r="M499" s="16" t="str">
        <x:v>https://www.google.com/search?q=Skagit%20Valley%20Tulip%20Fields%20Mount%20Vernon%20Washington%20wikipedia%20OR%20wikivoyage</x:v>
      </x:c>
      <x:c r="N499" s="16" t="str">
        <x:v>https://www.google.com/maps/search/?api=1&amp;query=Skagit%20Valley%20Tulip%20Fields%2C%20Mount%20Vernon%2C%20Washington</x:v>
      </x:c>
      <x:c r="O499" s="17" t="b">
        <x:v>1</x:v>
      </x:c>
      <x:c r="P499" s="16" t="b">
        <x:f>IFERROR(VLOOKUP(A499,States!$A$2:$B$18,2,FALSE),FALSE)</x:f>
        <x:v>1</x:v>
      </x:c>
      <x:c r="Q499" s="16" t="b">
        <x:f>AND(OR(O499=TRUE,O499="TRUE"),OR(P499=TRUE,P499="TRUE"))</x:f>
        <x:v>1</x:v>
      </x:c>
    </x:row>
    <x:row r="500">
      <x:c r="A500" s="16" t="str">
        <x:v>Washington</x:v>
      </x:c>
      <x:c r="B500" s="16" t="str">
        <x:v>Ellensburg</x:v>
      </x:c>
      <x:c r="C500" s="16" t="n">
        <x:v>-120.547</x:v>
      </x:c>
      <x:c r="D500" s="16" t="n">
        <x:v>46.996</x:v>
      </x:c>
      <x:c r="E500" s="16" t="str">
        <x:v>Kittitas County Historical Museum</x:v>
      </x:c>
      <x:c r="F500" s="16" t="str">
        <x:v>History travelers, road trippers</x:v>
      </x:c>
      <x:c r="G500" s="16" t="str">
        <x:v>Local exhibits add context to the I-90 crossing of central Washington.</x:v>
      </x:c>
      <x:c r="H500" s="16" t="str">
        <x:v>Museum</x:v>
      </x:c>
      <x:c r="I500" s="16" t="str">
        <x:v>https://www.google.com/search?q=Kittitas%20County%20Historical%20Museum%20Ellensburg%20Washington%20official%20website</x:v>
      </x:c>
      <x:c r="J500" s="16" t="str">
        <x:v>https://www.google.com/search?q=site%3Astateofwatourism.com%20Kittitas%20County%20Historical%20Museum</x:v>
      </x:c>
      <x:c r="K500" s="16" t="str">
        <x:v>https://www.google.com/search?q=Kittitas%20County%20Historical%20Museum%20Ellensburg%20Washington%20visitor%20information</x:v>
      </x:c>
      <x:c r="L500" s="16" t="str">
        <x:v>https://www.google.com/search?q=Kittitas%20County%20Historical%20Museum%20Ellensburg%20Washington%20photos</x:v>
      </x:c>
      <x:c r="M500" s="16" t="str">
        <x:v>https://www.google.com/search?q=Kittitas%20County%20Historical%20Museum%20Ellensburg%20Washington%20wikipedia%20OR%20wikivoyage</x:v>
      </x:c>
      <x:c r="N500" s="16" t="str">
        <x:v>https://www.google.com/maps/search/?api=1&amp;query=Kittitas%20County%20Historical%20Museum%2C%20Ellensburg%2C%20Washington</x:v>
      </x:c>
      <x:c r="O500" s="17" t="b">
        <x:v>1</x:v>
      </x:c>
      <x:c r="P500" s="16" t="b">
        <x:f>IFERROR(VLOOKUP(A500,States!$A$2:$B$18,2,FALSE),FALSE)</x:f>
        <x:v>1</x:v>
      </x:c>
      <x:c r="Q500" s="16" t="b">
        <x:f>AND(OR(O500=TRUE,O500="TRUE"),OR(P500=TRUE,P500="TRUE"))</x:f>
        <x:v>1</x:v>
      </x:c>
    </x:row>
    <x:row r="501">
      <x:c r="A501" s="16" t="str">
        <x:v>Washington</x:v>
      </x:c>
      <x:c r="B501" s="16" t="str">
        <x:v>Coulee Dam</x:v>
      </x:c>
      <x:c r="C501" s="16" t="n">
        <x:v>-118.981</x:v>
      </x:c>
      <x:c r="D501" s="16" t="n">
        <x:v>47.958</x:v>
      </x:c>
      <x:c r="E501" s="16" t="str">
        <x:v>Grand Coulee Dam</x:v>
      </x:c>
      <x:c r="F501" s="16" t="str">
        <x:v>Engineering fans, families</x:v>
      </x:c>
      <x:c r="G501" s="16" t="str">
        <x:v>A massive Columbia River dam explains power, irrigation, and regional change.</x:v>
      </x:c>
      <x:c r="H501" s="16" t="str">
        <x:v>Engineering</x:v>
      </x:c>
      <x:c r="I501" s="16" t="str">
        <x:v>https://www.google.com/search?q=Grand%20Coulee%20Dam%20Coulee%20Dam%20Washington%20official%20website</x:v>
      </x:c>
      <x:c r="J501" s="16" t="str">
        <x:v>https://www.google.com/search?q=site%3Astateofwatourism.com%20Grand%20Coulee%20Dam</x:v>
      </x:c>
      <x:c r="K501" s="16" t="str">
        <x:v>https://www.google.com/search?q=Grand%20Coulee%20Dam%20Coulee%20Dam%20Washington%20visitor%20information</x:v>
      </x:c>
      <x:c r="L501" s="16" t="str">
        <x:v>https://www.google.com/search?q=Grand%20Coulee%20Dam%20Coulee%20Dam%20Washington%20photos</x:v>
      </x:c>
      <x:c r="M501" s="16" t="str">
        <x:v>https://www.google.com/search?q=Grand%20Coulee%20Dam%20Coulee%20Dam%20Washington%20wikipedia%20OR%20wikivoyage</x:v>
      </x:c>
      <x:c r="N501" s="16" t="str">
        <x:v>https://www.google.com/maps/search/?api=1&amp;query=Grand%20Coulee%20Dam%2C%20Coulee%20Dam%2C%20Washington</x:v>
      </x:c>
      <x:c r="O501" s="17" t="b">
        <x:v>1</x:v>
      </x:c>
      <x:c r="P501" s="16" t="b">
        <x:f>IFERROR(VLOOKUP(A501,States!$A$2:$B$18,2,FALSE),FALSE)</x:f>
        <x:v>1</x:v>
      </x:c>
      <x:c r="Q501" s="16" t="b">
        <x:f>AND(OR(O501=TRUE,O501="TRUE"),OR(P501=TRUE,P501="TRUE"))</x:f>
        <x:v>1</x:v>
      </x:c>
    </x:row>
    <x:row r="502">
      <x:c r="A502" s="16" t="str">
        <x:v>Oregon</x:v>
      </x:c>
      <x:c r="B502" s="16" t="str">
        <x:v>Portland</x:v>
      </x:c>
      <x:c r="C502" s="16" t="n">
        <x:v>-122.676</x:v>
      </x:c>
      <x:c r="D502" s="16" t="n">
        <x:v>45.516</x:v>
      </x:c>
      <x:c r="E502" s="16" t="str">
        <x:v>Portland Art Museum</x:v>
      </x:c>
      <x:c r="F502" s="16" t="str">
        <x:v>Art lovers, city explorers</x:v>
      </x:c>
      <x:c r="G502" s="16" t="str">
        <x:v>Regional and global collections make a central Portland cultural stop.</x:v>
      </x:c>
      <x:c r="H502" s="16" t="str">
        <x:v>Museum</x:v>
      </x:c>
      <x:c r="I502" s="16" t="str">
        <x:v>https://www.google.com/search?q=Portland%20Art%20Museum%20Portland%20Oregon%20official%20website</x:v>
      </x:c>
      <x:c r="J502" s="16" t="str">
        <x:v>https://www.google.com/search?q=site%3Atraveloregon.com%20Portland%20Art%20Museum</x:v>
      </x:c>
      <x:c r="K502" s="16" t="str">
        <x:v>https://www.google.com/search?q=Portland%20Art%20Museum%20Portland%20Oregon%20visitor%20information</x:v>
      </x:c>
      <x:c r="L502" s="16" t="str">
        <x:v>https://www.google.com/search?q=Portland%20Art%20Museum%20Portland%20Oregon%20photos</x:v>
      </x:c>
      <x:c r="M502" s="16" t="str">
        <x:v>https://www.google.com/search?q=Portland%20Art%20Museum%20Portland%20Oregon%20wikipedia%20OR%20wikivoyage</x:v>
      </x:c>
      <x:c r="N502" s="16" t="str">
        <x:v>https://www.google.com/maps/search/?api=1&amp;query=Portland%20Art%20Museum%2C%20Portland%2C%20Oregon</x:v>
      </x:c>
      <x:c r="O502" s="17" t="b">
        <x:v>1</x:v>
      </x:c>
      <x:c r="P502" s="16" t="b">
        <x:f>IFERROR(VLOOKUP(A502,States!$A$2:$B$18,2,FALSE),FALSE)</x:f>
        <x:v>1</x:v>
      </x:c>
      <x:c r="Q502" s="16" t="b">
        <x:f>AND(OR(O502=TRUE,O502="TRUE"),OR(P502=TRUE,P502="TRUE"))</x:f>
        <x:v>1</x:v>
      </x:c>
    </x:row>
    <x:row r="503">
      <x:c r="A503" s="16" t="str">
        <x:v>Oregon</x:v>
      </x:c>
      <x:c r="B503" s="16" t="str">
        <x:v>Hood River</x:v>
      </x:c>
      <x:c r="C503" s="16" t="n">
        <x:v>-121.522</x:v>
      </x:c>
      <x:c r="D503" s="16" t="n">
        <x:v>45.706</x:v>
      </x:c>
      <x:c r="E503" s="16" t="str">
        <x:v>Hood River Waterfront and Fruit Loop</x:v>
      </x:c>
      <x:c r="F503" s="16" t="str">
        <x:v>Food lovers, families, scenic drivers</x:v>
      </x:c>
      <x:c r="G503" s="16" t="str">
        <x:v>River recreation, orchards, and Mount Hood views define the area.</x:v>
      </x:c>
      <x:c r="H503" s="16" t="str">
        <x:v>Food/Drink</x:v>
      </x:c>
      <x:c r="I503" s="16" t="str">
        <x:v>https://www.google.com/search?q=Hood%20River%20Waterfront%20and%20Fruit%20Loop%20Hood%20River%20Oregon%20official%20website</x:v>
      </x:c>
      <x:c r="J503" s="16" t="str">
        <x:v>https://www.google.com/search?q=site%3Atraveloregon.com%20Hood%20River%20Waterfront%20and%20Fruit%20Loop</x:v>
      </x:c>
      <x:c r="K503" s="16" t="str">
        <x:v>https://www.google.com/search?q=Hood%20River%20Waterfront%20and%20Fruit%20Loop%20Hood%20River%20Oregon%20visitor%20information</x:v>
      </x:c>
      <x:c r="L503" s="16" t="str">
        <x:v>https://www.google.com/search?q=Hood%20River%20Waterfront%20and%20Fruit%20Loop%20Hood%20River%20Oregon%20photos</x:v>
      </x:c>
      <x:c r="M503" s="16" t="str">
        <x:v>https://www.google.com/search?q=Hood%20River%20Waterfront%20and%20Fruit%20Loop%20Hood%20River%20Oregon%20wikipedia%20OR%20wikivoyage</x:v>
      </x:c>
      <x:c r="N503" s="16" t="str">
        <x:v>https://www.google.com/maps/search/?api=1&amp;query=Hood%20River%20Waterfront%20and%20Fruit%20Loop%2C%20Hood%20River%2C%20Oregon</x:v>
      </x:c>
      <x:c r="O503" s="17" t="b">
        <x:v>1</x:v>
      </x:c>
      <x:c r="P503" s="16" t="b">
        <x:f>IFERROR(VLOOKUP(A503,States!$A$2:$B$18,2,FALSE),FALSE)</x:f>
        <x:v>1</x:v>
      </x:c>
      <x:c r="Q503" s="16" t="b">
        <x:f>AND(OR(O503=TRUE,O503="TRUE"),OR(P503=TRUE,P503="TRUE"))</x:f>
        <x:v>1</x:v>
      </x:c>
    </x:row>
    <x:row r="504">
      <x:c r="A504" s="16" t="str">
        <x:v>Oregon</x:v>
      </x:c>
      <x:c r="B504" s="16" t="str">
        <x:v>Tillamook</x:v>
      </x:c>
      <x:c r="C504" s="16" t="n">
        <x:v>-123.844</x:v>
      </x:c>
      <x:c r="D504" s="16" t="n">
        <x:v>45.457</x:v>
      </x:c>
      <x:c r="E504" s="16" t="str">
        <x:v>Tillamook Creamery</x:v>
      </x:c>
      <x:c r="F504" s="16" t="str">
        <x:v>Families, food lovers</x:v>
      </x:c>
      <x:c r="G504" s="16" t="str">
        <x:v>Cheese-making exhibits and tastings make an easy coast-route stop.</x:v>
      </x:c>
      <x:c r="H504" s="16" t="str">
        <x:v>Food/Drink</x:v>
      </x:c>
      <x:c r="I504" s="16" t="str">
        <x:v>https://www.google.com/search?q=Tillamook%20Creamery%20Tillamook%20Oregon%20official%20website</x:v>
      </x:c>
      <x:c r="J504" s="16" t="str">
        <x:v>https://www.google.com/search?q=site%3Atraveloregon.com%20Tillamook%20Creamery</x:v>
      </x:c>
      <x:c r="K504" s="16" t="str">
        <x:v>https://www.google.com/search?q=Tillamook%20Creamery%20Tillamook%20Oregon%20visitor%20information</x:v>
      </x:c>
      <x:c r="L504" s="16" t="str">
        <x:v>https://www.google.com/search?q=Tillamook%20Creamery%20Tillamook%20Oregon%20photos</x:v>
      </x:c>
      <x:c r="M504" s="16" t="str">
        <x:v>https://www.google.com/search?q=Tillamook%20Creamery%20Tillamook%20Oregon%20wikipedia%20OR%20wikivoyage</x:v>
      </x:c>
      <x:c r="N504" s="16" t="str">
        <x:v>https://www.google.com/maps/search/?api=1&amp;query=Tillamook%20Creamery%2C%20Tillamook%2C%20Oregon</x:v>
      </x:c>
      <x:c r="O504" s="17" t="b">
        <x:v>1</x:v>
      </x:c>
      <x:c r="P504" s="16" t="b">
        <x:f>IFERROR(VLOOKUP(A504,States!$A$2:$B$18,2,FALSE),FALSE)</x:f>
        <x:v>1</x:v>
      </x:c>
      <x:c r="Q504" s="16" t="b">
        <x:f>AND(OR(O504=TRUE,O504="TRUE"),OR(P504=TRUE,P504="TRUE"))</x:f>
        <x:v>1</x:v>
      </x:c>
    </x:row>
    <x:row r="505">
      <x:c r="A505" s="16" t="str">
        <x:v>Oregon</x:v>
      </x:c>
      <x:c r="B505" s="16" t="str">
        <x:v>Florence</x:v>
      </x:c>
      <x:c r="C505" s="16" t="n">
        <x:v>-124.146</x:v>
      </x:c>
      <x:c r="D505" s="16" t="n">
        <x:v>43.931</x:v>
      </x:c>
      <x:c r="E505" s="16" t="str">
        <x:v>Oregon Dunes National Recreation Area</x:v>
      </x:c>
      <x:c r="F505" s="16" t="str">
        <x:v>Families, off-roaders, photographers</x:v>
      </x:c>
      <x:c r="G505" s="16" t="str">
        <x:v>Huge coastal dunes create one of Oregon's most distinctive landscapes.</x:v>
      </x:c>
      <x:c r="H505" s="16" t="str">
        <x:v>Nature</x:v>
      </x:c>
      <x:c r="I505" s="16" t="str">
        <x:v>https://www.google.com/search?q=Oregon%20Dunes%20National%20Recreation%20Area%20Florence%20Oregon%20official%20website</x:v>
      </x:c>
      <x:c r="J505" s="16" t="str">
        <x:v>https://www.google.com/search?q=site%3Atraveloregon.com%20Oregon%20Dunes%20National%20Recreation%20Area</x:v>
      </x:c>
      <x:c r="K505" s="16" t="str">
        <x:v>https://www.google.com/search?q=Oregon%20Dunes%20National%20Recreation%20Area%20Florence%20Oregon%20visitor%20information</x:v>
      </x:c>
      <x:c r="L505" s="16" t="str">
        <x:v>https://www.google.com/search?q=Oregon%20Dunes%20National%20Recreation%20Area%20Florence%20Oregon%20photos</x:v>
      </x:c>
      <x:c r="M505" s="16" t="str">
        <x:v>https://www.google.com/search?q=Oregon%20Dunes%20National%20Recreation%20Area%20Florence%20Oregon%20wikipedia%20OR%20wikivoyage</x:v>
      </x:c>
      <x:c r="N505" s="16" t="str">
        <x:v>https://www.google.com/maps/search/?api=1&amp;query=Oregon%20Dunes%20National%20Recreation%20Area%2C%20Florence%2C%20Oregon</x:v>
      </x:c>
      <x:c r="O505" s="17" t="b">
        <x:v>1</x:v>
      </x:c>
      <x:c r="P505" s="16" t="b">
        <x:f>IFERROR(VLOOKUP(A505,States!$A$2:$B$18,2,FALSE),FALSE)</x:f>
        <x:v>1</x:v>
      </x:c>
      <x:c r="Q505" s="16" t="b">
        <x:f>AND(OR(O505=TRUE,O505="TRUE"),OR(P505=TRUE,P505="TRUE"))</x:f>
        <x:v>1</x:v>
      </x:c>
    </x:row>
    <x:row r="506">
      <x:c r="A506" s="16" t="str">
        <x:v>Oregon</x:v>
      </x:c>
      <x:c r="B506" s="16" t="str">
        <x:v>Bend</x:v>
      </x:c>
      <x:c r="C506" s="16" t="n">
        <x:v>-121.315</x:v>
      </x:c>
      <x:c r="D506" s="16" t="n">
        <x:v>44.058</x:v>
      </x:c>
      <x:c r="E506" s="16" t="str">
        <x:v>Pilot Butte State Scenic Viewpoint</x:v>
      </x:c>
      <x:c r="F506" s="16" t="str">
        <x:v>Scenic drivers, walkers, photographers</x:v>
      </x:c>
      <x:c r="G506" s="16" t="str">
        <x:v>A small volcanic butte gives quick Bend and Cascade views.</x:v>
      </x:c>
      <x:c r="H506" s="16" t="str">
        <x:v>Scenic Overlook</x:v>
      </x:c>
      <x:c r="I506" s="16" t="str">
        <x:v>https://www.google.com/search?q=Pilot%20Butte%20State%20Scenic%20Viewpoint%20Bend%20Oregon%20official%20website</x:v>
      </x:c>
      <x:c r="J506" s="16" t="str">
        <x:v>https://www.google.com/search?q=site%3Atraveloregon.com%20Pilot%20Butte%20State%20Scenic%20Viewpoint</x:v>
      </x:c>
      <x:c r="K506" s="16" t="str">
        <x:v>https://www.google.com/search?q=Pilot%20Butte%20State%20Scenic%20Viewpoint%20Bend%20Oregon%20visitor%20information</x:v>
      </x:c>
      <x:c r="L506" s="16" t="str">
        <x:v>https://www.google.com/search?q=Pilot%20Butte%20State%20Scenic%20Viewpoint%20Bend%20Oregon%20photos</x:v>
      </x:c>
      <x:c r="M506" s="16" t="str">
        <x:v>https://www.google.com/search?q=Pilot%20Butte%20State%20Scenic%20Viewpoint%20Bend%20Oregon%20wikipedia%20OR%20wikivoyage</x:v>
      </x:c>
      <x:c r="N506" s="16" t="str">
        <x:v>https://www.google.com/maps/search/?api=1&amp;query=Pilot%20Butte%20State%20Scenic%20Viewpoint%2C%20Bend%2C%20Oregon</x:v>
      </x:c>
      <x:c r="O506" s="17" t="b">
        <x:v>1</x:v>
      </x:c>
      <x:c r="P506" s="16" t="b">
        <x:f>IFERROR(VLOOKUP(A506,States!$A$2:$B$18,2,FALSE),FALSE)</x:f>
        <x:v>1</x:v>
      </x:c>
      <x:c r="Q506" s="16" t="b">
        <x:f>AND(OR(O506=TRUE,O506="TRUE"),OR(P506=TRUE,P506="TRUE"))</x:f>
        <x:v>1</x:v>
      </x:c>
    </x:row>
    <x:row r="507">
      <x:c r="A507" s="16" t="str">
        <x:v>Oregon</x:v>
      </x:c>
      <x:c r="B507" s="16" t="str">
        <x:v>Baker City</x:v>
      </x:c>
      <x:c r="C507" s="16" t="n">
        <x:v>-117.834</x:v>
      </x:c>
      <x:c r="D507" s="16" t="n">
        <x:v>44.789</x:v>
      </x:c>
      <x:c r="E507" s="16" t="str">
        <x:v>National Historic Oregon Trail Interpretive Center</x:v>
      </x:c>
      <x:c r="F507" s="16" t="str">
        <x:v>History travelers, families</x:v>
      </x:c>
      <x:c r="G507" s="16" t="str">
        <x:v>Exhibits and wagon-rut views explain overland migration.</x:v>
      </x:c>
      <x:c r="H507" s="16" t="str">
        <x:v>Museum</x:v>
      </x:c>
      <x:c r="I507" s="16" t="str">
        <x:v>https://www.google.com/search?q=National%20Historic%20Oregon%20Trail%20Interpretive%20Center%20Baker%20City%20Oregon%20official%20website</x:v>
      </x:c>
      <x:c r="J507" s="16" t="str">
        <x:v>https://www.google.com/search?q=site%3Atraveloregon.com%20National%20Historic%20Oregon%20Trail%20Interpretive%20Center</x:v>
      </x:c>
      <x:c r="K507" s="16" t="str">
        <x:v>https://www.google.com/search?q=National%20Historic%20Oregon%20Trail%20Interpretive%20Center%20Baker%20City%20Oregon%20visitor%20information</x:v>
      </x:c>
      <x:c r="L507" s="16" t="str">
        <x:v>https://www.google.com/search?q=National%20Historic%20Oregon%20Trail%20Interpretive%20Center%20Baker%20City%20Oregon%20photos</x:v>
      </x:c>
      <x:c r="M507" s="16" t="str">
        <x:v>https://www.google.com/search?q=National%20Historic%20Oregon%20Trail%20Interpretive%20Center%20Baker%20City%20Oregon%20wikipedia%20OR%20wikivoyage</x:v>
      </x:c>
      <x:c r="N507" s="16" t="str">
        <x:v>https://www.google.com/maps/search/?api=1&amp;query=National%20Historic%20Oregon%20Trail%20Interpretive%20Center%2C%20Baker%20City%2C%20Oregon</x:v>
      </x:c>
      <x:c r="O507" s="17" t="b">
        <x:v>1</x:v>
      </x:c>
      <x:c r="P507" s="16" t="b">
        <x:f>IFERROR(VLOOKUP(A507,States!$A$2:$B$18,2,FALSE),FALSE)</x:f>
        <x:v>1</x:v>
      </x:c>
      <x:c r="Q507" s="16" t="b">
        <x:f>AND(OR(O507=TRUE,O507="TRUE"),OR(P507=TRUE,P507="TRUE"))</x:f>
        <x:v>1</x:v>
      </x:c>
    </x:row>
    <x:row r="508">
      <x:c r="A508" s="16" t="str">
        <x:v>Oregon</x:v>
      </x:c>
      <x:c r="B508" s="16" t="str">
        <x:v>Salem</x:v>
      </x:c>
      <x:c r="C508" s="16" t="n">
        <x:v>-123.031</x:v>
      </x:c>
      <x:c r="D508" s="16" t="n">
        <x:v>44.938</x:v>
      </x:c>
      <x:c r="E508" s="16" t="str">
        <x:v>Oregon State Capitol State Park</x:v>
      </x:c>
      <x:c r="F508" s="16" t="str">
        <x:v>Architecture fans, history travelers</x:v>
      </x:c>
      <x:c r="G508" s="16" t="str">
        <x:v>Capitol grounds and public art anchor Oregon's state history.</x:v>
      </x:c>
      <x:c r="H508" s="16" t="str">
        <x:v>Architecture</x:v>
      </x:c>
      <x:c r="I508" s="16" t="str">
        <x:v>https://www.google.com/search?q=Oregon%20State%20Capitol%20State%20Park%20Salem%20Oregon%20official%20website</x:v>
      </x:c>
      <x:c r="J508" s="16" t="str">
        <x:v>https://www.google.com/search?q=site%3Atraveloregon.com%20Oregon%20State%20Capitol%20State%20Park</x:v>
      </x:c>
      <x:c r="K508" s="16" t="str">
        <x:v>https://www.google.com/search?q=Oregon%20State%20Capitol%20State%20Park%20Salem%20Oregon%20visitor%20information</x:v>
      </x:c>
      <x:c r="L508" s="16" t="str">
        <x:v>https://www.google.com/search?q=Oregon%20State%20Capitol%20State%20Park%20Salem%20Oregon%20photos</x:v>
      </x:c>
      <x:c r="M508" s="16" t="str">
        <x:v>https://www.google.com/search?q=Oregon%20State%20Capitol%20State%20Park%20Salem%20Oregon%20wikipedia%20OR%20wikivoyage</x:v>
      </x:c>
      <x:c r="N508" s="16" t="str">
        <x:v>https://www.google.com/maps/search/?api=1&amp;query=Oregon%20State%20Capitol%20State%20Park%2C%20Salem%2C%20Oregon</x:v>
      </x:c>
      <x:c r="O508" s="17" t="b">
        <x:v>1</x:v>
      </x:c>
      <x:c r="P508" s="16" t="b">
        <x:f>IFERROR(VLOOKUP(A508,States!$A$2:$B$18,2,FALSE),FALSE)</x:f>
        <x:v>1</x:v>
      </x:c>
      <x:c r="Q508" s="16" t="b">
        <x:f>AND(OR(O508=TRUE,O508="TRUE"),OR(P508=TRUE,P508="TRUE"))</x:f>
        <x:v>1</x:v>
      </x:c>
    </x:row>
    <x:row r="509">
      <x:c r="A509" s="16" t="str">
        <x:v>Oregon</x:v>
      </x:c>
      <x:c r="B509" s="16" t="str">
        <x:v>Klamath Falls</x:v>
      </x:c>
      <x:c r="C509" s="16" t="n">
        <x:v>-121.739</x:v>
      </x:c>
      <x:c r="D509" s="16" t="n">
        <x:v>42.868</x:v>
      </x:c>
      <x:c r="E509" s="16" t="str">
        <x:v>Lava Beds National Monument</x:v>
      </x:c>
      <x:c r="F509" s="16" t="str">
        <x:v>Cave fans, geology travelers</x:v>
      </x:c>
      <x:c r="G509" s="16" t="str">
        <x:v>Lava tubes and high-desert history reward a southern Oregon detour.</x:v>
      </x:c>
      <x:c r="H509" s="16" t="str">
        <x:v>National Monument</x:v>
      </x:c>
      <x:c r="I509" s="16" t="str">
        <x:v>https://www.google.com/search?q=Lava%20Beds%20National%20Monument%20Klamath%20Falls%20Oregon%20official%20website</x:v>
      </x:c>
      <x:c r="J509" s="16" t="str">
        <x:v>https://www.google.com/search?q=site%3Atraveloregon.com%20Lava%20Beds%20National%20Monument</x:v>
      </x:c>
      <x:c r="K509" s="16" t="str">
        <x:v>https://www.google.com/search?q=Lava%20Beds%20National%20Monument%20Klamath%20Falls%20Oregon%20visitor%20information</x:v>
      </x:c>
      <x:c r="L509" s="16" t="str">
        <x:v>https://www.google.com/search?q=Lava%20Beds%20National%20Monument%20Klamath%20Falls%20Oregon%20photos</x:v>
      </x:c>
      <x:c r="M509" s="16" t="str">
        <x:v>https://www.google.com/search?q=site%3Anps.gov%20Lava%20Beds%20National%20Monument</x:v>
      </x:c>
      <x:c r="N509" s="16" t="str">
        <x:v>https://www.google.com/maps/search/?api=1&amp;query=Lava%20Beds%20National%20Monument%2C%20Klamath%20Falls%2C%20Oregon</x:v>
      </x:c>
      <x:c r="O509" s="17" t="b">
        <x:v>1</x:v>
      </x:c>
      <x:c r="P509" s="16" t="b">
        <x:f>IFERROR(VLOOKUP(A509,States!$A$2:$B$18,2,FALSE),FALSE)</x:f>
        <x:v>1</x:v>
      </x:c>
      <x:c r="Q509" s="16" t="b">
        <x:f>AND(OR(O509=TRUE,O509="TRUE"),OR(P509=TRUE,P509="TRUE"))</x:f>
        <x:v>1</x:v>
      </x:c>
    </x:row>
    <x:row r="510">
      <x:c r="A510" s="16" t="str">
        <x:v>Oregon</x:v>
      </x:c>
      <x:c r="B510" s="16" t="str">
        <x:v>Eugene</x:v>
      </x:c>
      <x:c r="C510" s="16" t="n">
        <x:v>-123.072</x:v>
      </x:c>
      <x:c r="D510" s="16" t="n">
        <x:v>44.052</x:v>
      </x:c>
      <x:c r="E510" s="16" t="str">
        <x:v>Jordan Schnitzer Museum of Art</x:v>
      </x:c>
      <x:c r="F510" s="16" t="str">
        <x:v>Art lovers, college-town travelers</x:v>
      </x:c>
      <x:c r="G510" s="16" t="str">
        <x:v>A university museum adds Asian, regional, and contemporary collections.</x:v>
      </x:c>
      <x:c r="H510" s="16" t="str">
        <x:v>Museum</x:v>
      </x:c>
      <x:c r="I510" s="16" t="str">
        <x:v>https://www.google.com/search?q=Jordan%20Schnitzer%20Museum%20of%20Art%20Eugene%20Oregon%20official%20website</x:v>
      </x:c>
      <x:c r="J510" s="16" t="str">
        <x:v>https://www.google.com/search?q=site%3Atraveloregon.com%20Jordan%20Schnitzer%20Museum%20of%20Art</x:v>
      </x:c>
      <x:c r="K510" s="16" t="str">
        <x:v>https://www.google.com/search?q=Jordan%20Schnitzer%20Museum%20of%20Art%20Eugene%20Oregon%20visitor%20information</x:v>
      </x:c>
      <x:c r="L510" s="16" t="str">
        <x:v>https://www.google.com/search?q=Jordan%20Schnitzer%20Museum%20of%20Art%20Eugene%20Oregon%20photos</x:v>
      </x:c>
      <x:c r="M510" s="16" t="str">
        <x:v>https://www.google.com/search?q=Jordan%20Schnitzer%20Museum%20of%20Art%20Eugene%20Oregon%20wikipedia%20OR%20wikivoyage</x:v>
      </x:c>
      <x:c r="N510" s="16" t="str">
        <x:v>https://www.google.com/maps/search/?api=1&amp;query=Jordan%20Schnitzer%20Museum%20of%20Art%2C%20Eugene%2C%20Oregon</x:v>
      </x:c>
      <x:c r="O510" s="17" t="b">
        <x:v>1</x:v>
      </x:c>
      <x:c r="P510" s="16" t="b">
        <x:f>IFERROR(VLOOKUP(A510,States!$A$2:$B$18,2,FALSE),FALSE)</x:f>
        <x:v>1</x:v>
      </x:c>
      <x:c r="Q510" s="16" t="b">
        <x:f>AND(OR(O510=TRUE,O510="TRUE"),OR(P510=TRUE,P510="TRUE"))</x:f>
        <x:v>1</x:v>
      </x:c>
    </x:row>
    <x:row r="511">
      <x:c r="A511" s="16" t="str">
        <x:v>Oregon</x:v>
      </x:c>
      <x:c r="B511" s="16" t="str">
        <x:v>Pendleton</x:v>
      </x:c>
      <x:c r="C511" s="16" t="n">
        <x:v>-118.786</x:v>
      </x:c>
      <x:c r="D511" s="16" t="n">
        <x:v>45.674</x:v>
      </x:c>
      <x:c r="E511" s="16" t="str">
        <x:v>Pendleton Underground Tours</x:v>
      </x:c>
      <x:c r="F511" s="16" t="str">
        <x:v>History travelers, road trippers</x:v>
      </x:c>
      <x:c r="G511" s="16" t="str">
        <x:v>Underground spaces and downtown stories add character to eastern Oregon.</x:v>
      </x:c>
      <x:c r="H511" s="16" t="str">
        <x:v>Historic Site</x:v>
      </x:c>
      <x:c r="I511" s="16" t="str">
        <x:v>https://www.google.com/search?q=Pendleton%20Underground%20Tours%20Pendleton%20Oregon%20official%20website</x:v>
      </x:c>
      <x:c r="J511" s="16" t="str">
        <x:v>https://www.google.com/search?q=site%3Atraveloregon.com%20Pendleton%20Underground%20Tours</x:v>
      </x:c>
      <x:c r="K511" s="16" t="str">
        <x:v>https://www.google.com/search?q=Pendleton%20Underground%20Tours%20Pendleton%20Oregon%20visitor%20information</x:v>
      </x:c>
      <x:c r="L511" s="16" t="str">
        <x:v>https://www.google.com/search?q=Pendleton%20Underground%20Tours%20Pendleton%20Oregon%20photos</x:v>
      </x:c>
      <x:c r="M511" s="16" t="str">
        <x:v>https://www.google.com/search?q=Pendleton%20Underground%20Tours%20Pendleton%20Oregon%20wikipedia%20OR%20wikivoyage</x:v>
      </x:c>
      <x:c r="N511" s="16" t="str">
        <x:v>https://www.google.com/maps/search/?api=1&amp;query=Pendleton%20Underground%20Tours%2C%20Pendleton%2C%20Oregon</x:v>
      </x:c>
      <x:c r="O511" s="17" t="b">
        <x:v>1</x:v>
      </x:c>
      <x:c r="P511" s="16" t="b">
        <x:f>IFERROR(VLOOKUP(A511,States!$A$2:$B$18,2,FALSE),FALSE)</x:f>
        <x:v>1</x:v>
      </x:c>
      <x:c r="Q511" s="16" t="b">
        <x:f>AND(OR(O511=TRUE,O511="TRUE"),OR(P511=TRUE,P511="TRUE"))</x:f>
        <x:v>1</x:v>
      </x:c>
    </x:row>
  </x:sheetData>
  <x:dataValidations count="1">
    <x:dataValidation type="list" sqref="O2:O51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41723aa7b46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48" hidden="0" customWidth="1"/>
  </x:cols>
  <x:sheetData>
    <x:row r="1">
      <x:c r="A1" s="10" t="str">
        <x:v>State</x:v>
      </x:c>
      <x:c r="B1" s="10" t="str">
        <x:v>Selected</x:v>
      </x:c>
      <x:c r="C1" s="10" t="str">
        <x:v>Scope Band</x:v>
      </x:c>
      <x:c r="D1" s="10" t="str">
        <x:v>Notes</x:v>
      </x:c>
    </x:row>
    <x:row r="2">
      <x:c r="A2" s="13" t="str">
        <x:v>New York</x:v>
      </x:c>
      <x:c r="B2" s="14" t="b">
        <x:v>1</x:v>
      </x:c>
      <x:c r="C2" s="13" t="str">
        <x:v>Northern tier / starting state</x:v>
      </x:c>
      <x:c r="D2" s="13" t="str">
        <x:v>Included because Rochester is the starting point.</x:v>
      </x:c>
    </x:row>
    <x:row r="3">
      <x:c r="A3" s="13" t="str">
        <x:v>Pennsylvania</x:v>
      </x:c>
      <x:c r="B3" s="14" t="b">
        <x:v>1</x:v>
      </x:c>
      <x:c r="C3" s="13" t="str">
        <x:v>Second northern row</x:v>
      </x:c>
      <x:c r="D3" s="13" t="str">
        <x:v>Included as the southern partner below New York.</x:v>
      </x:c>
    </x:row>
    <x:row r="4">
      <x:c r="A4" s="13" t="str">
        <x:v>Ohio</x:v>
      </x:c>
      <x:c r="B4" s="14" t="b">
        <x:v>1</x:v>
      </x:c>
      <x:c r="C4" s="13" t="str">
        <x:v>Second northern row</x:v>
      </x:c>
      <x:c r="D4" s="13" t="str">
        <x:v>Included as the southern partner below Michigan.</x:v>
      </x:c>
    </x:row>
    <x:row r="5">
      <x:c r="A5" s="13" t="str">
        <x:v>Michigan</x:v>
      </x:c>
      <x:c r="B5" s="14" t="b">
        <x:v>1</x:v>
      </x:c>
      <x:c r="C5" s="13" t="str">
        <x:v>Northern tier</x:v>
      </x:c>
      <x:c r="D5" s="13" t="str">
        <x:v>Included as a Great Lakes border state.</x:v>
      </x:c>
    </x:row>
    <x:row r="6">
      <x:c r="A6" s="13" t="str">
        <x:v>Indiana</x:v>
      </x:c>
      <x:c r="B6" s="14" t="b">
        <x:v>1</x:v>
      </x:c>
      <x:c r="C6" s="13" t="str">
        <x:v>Second northern row</x:v>
      </x:c>
      <x:c r="D6" s="13" t="str">
        <x:v>Included as the southern partner below Michigan.</x:v>
      </x:c>
    </x:row>
    <x:row r="7">
      <x:c r="A7" s="13" t="str">
        <x:v>Illinois</x:v>
      </x:c>
      <x:c r="B7" s="14" t="b">
        <x:v>1</x:v>
      </x:c>
      <x:c r="C7" s="13" t="str">
        <x:v>Second northern row</x:v>
      </x:c>
      <x:c r="D7" s="13" t="str">
        <x:v>Included as the southern partner below Wisconsin.</x:v>
      </x:c>
    </x:row>
    <x:row r="8">
      <x:c r="A8" s="13" t="str">
        <x:v>Wisconsin</x:v>
      </x:c>
      <x:c r="B8" s="14" t="b">
        <x:v>1</x:v>
      </x:c>
      <x:c r="C8" s="13" t="str">
        <x:v>Northern tier</x:v>
      </x:c>
      <x:c r="D8" s="13" t="str">
        <x:v>Included as a Great Lakes border state.</x:v>
      </x:c>
    </x:row>
    <x:row r="9">
      <x:c r="A9" s="13" t="str">
        <x:v>Minnesota</x:v>
      </x:c>
      <x:c r="B9" s="14" t="b">
        <x:v>1</x:v>
      </x:c>
      <x:c r="C9" s="13" t="str">
        <x:v>Northern tier</x:v>
      </x:c>
      <x:c r="D9" s="13" t="str">
        <x:v>Included as a Canadian-border state.</x:v>
      </x:c>
    </x:row>
    <x:row r="10">
      <x:c r="A10" s="13" t="str">
        <x:v>Iowa</x:v>
      </x:c>
      <x:c r="B10" s="14" t="b">
        <x:v>1</x:v>
      </x:c>
      <x:c r="C10" s="13" t="str">
        <x:v>Second northern row</x:v>
      </x:c>
      <x:c r="D10" s="13" t="str">
        <x:v>Included as the southern partner below Minnesota.</x:v>
      </x:c>
    </x:row>
    <x:row r="11">
      <x:c r="A11" s="13" t="str">
        <x:v>North Dakota</x:v>
      </x:c>
      <x:c r="B11" s="14" t="b">
        <x:v>1</x:v>
      </x:c>
      <x:c r="C11" s="13" t="str">
        <x:v>Northern tier</x:v>
      </x:c>
      <x:c r="D11" s="13" t="str">
        <x:v>Included as a Canadian-border state.</x:v>
      </x:c>
    </x:row>
    <x:row r="12">
      <x:c r="A12" s="13" t="str">
        <x:v>South Dakota</x:v>
      </x:c>
      <x:c r="B12" s="14" t="b">
        <x:v>1</x:v>
      </x:c>
      <x:c r="C12" s="13" t="str">
        <x:v>Second northern row</x:v>
      </x:c>
      <x:c r="D12" s="13" t="str">
        <x:v>Included as the southern partner below North Dakota.</x:v>
      </x:c>
    </x:row>
    <x:row r="13">
      <x:c r="A13" s="13" t="str">
        <x:v>Nebraska</x:v>
      </x:c>
      <x:c r="B13" s="14" t="b">
        <x:v>1</x:v>
      </x:c>
      <x:c r="C13" s="13" t="str">
        <x:v>Added by request</x:v>
      </x:c>
      <x:c r="D13" s="13" t="str">
        <x:v>Included as a Great Plains extension south of South Dakota and Iowa.</x:v>
      </x:c>
    </x:row>
    <x:row r="14">
      <x:c r="A14" s="13" t="str">
        <x:v>Montana</x:v>
      </x:c>
      <x:c r="B14" s="14" t="b">
        <x:v>1</x:v>
      </x:c>
      <x:c r="C14" s="13" t="str">
        <x:v>Northern tier</x:v>
      </x:c>
      <x:c r="D14" s="13" t="str">
        <x:v>Included as a Canadian-border state.</x:v>
      </x:c>
    </x:row>
    <x:row r="15">
      <x:c r="A15" s="13" t="str">
        <x:v>Wyoming</x:v>
      </x:c>
      <x:c r="B15" s="14" t="b">
        <x:v>1</x:v>
      </x:c>
      <x:c r="C15" s="13" t="str">
        <x:v>Second northern row</x:v>
      </x:c>
      <x:c r="D15" s="13" t="str">
        <x:v>Included as the southern partner below Montana.</x:v>
      </x:c>
    </x:row>
    <x:row r="16">
      <x:c r="A16" s="13" t="str">
        <x:v>Idaho</x:v>
      </x:c>
      <x:c r="B16" s="14" t="b">
        <x:v>1</x:v>
      </x:c>
      <x:c r="C16" s="13" t="str">
        <x:v>Northern tier</x:v>
      </x:c>
      <x:c r="D16" s="13" t="str">
        <x:v>Included as a Canadian-border state.</x:v>
      </x:c>
    </x:row>
    <x:row r="17">
      <x:c r="A17" s="13" t="str">
        <x:v>Washington</x:v>
      </x:c>
      <x:c r="B17" s="14" t="b">
        <x:v>1</x:v>
      </x:c>
      <x:c r="C17" s="13" t="str">
        <x:v>Northern tier</x:v>
      </x:c>
      <x:c r="D17" s="13" t="str">
        <x:v>Included as a Pacific Northwest border state.</x:v>
      </x:c>
    </x:row>
    <x:row r="18">
      <x:c r="A18" s="13" t="str">
        <x:v>Oregon</x:v>
      </x:c>
      <x:c r="B18" s="14" t="b">
        <x:v>1</x:v>
      </x:c>
      <x:c r="C18" s="13" t="str">
        <x:v>Second northern row</x:v>
      </x:c>
      <x:c r="D18" s="13" t="str">
        <x:v>Included as the southern partner below Washington.</x:v>
      </x:c>
    </x:row>
  </x:sheetData>
  <x:dataValidations count="1">
    <x:dataValidation type="list" sqref="B2:B1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aa215568143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50" hidden="0" customWidth="1"/>
    <x:col min="6" max="6" width="24" hidden="0" customWidth="1"/>
    <x:col min="7" max="7" width="42" hidden="0" customWidth="1"/>
    <x:col min="8" max="8" width="42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5" t="str">
        <x:v>State</x:v>
      </x:c>
      <x:c r="B1" s="15" t="str">
        <x:v>Scenic Road</x:v>
      </x:c>
      <x:c r="C1" s="15" t="str">
        <x:v>Start / Nearest City</x:v>
      </x:c>
      <x:c r="D1" s="15" t="str">
        <x:v>End / Nearest City</x:v>
      </x:c>
      <x:c r="E1" s="15" t="str">
        <x:v>Brief Description</x:v>
      </x:c>
      <x:c r="F1" s="15" t="str">
        <x:v>Scenery Type</x:v>
      </x:c>
      <x:c r="G1" s="15" t="str">
        <x:v>Info / Images Link</x:v>
      </x:c>
      <x:c r="H1" s="15" t="str">
        <x:v>Google Maps Link</x:v>
      </x:c>
      <x:c r="I1" s="15" t="str">
        <x:v>Approximate Path</x:v>
      </x:c>
      <x:c r="J1" s="15" t="str">
        <x:v>Road Selected</x:v>
      </x:c>
      <x:c r="K1" s="15" t="str">
        <x:v>State Selected</x:v>
      </x:c>
      <x:c r="L1" s="15" t="str">
        <x:v>Visualize</x:v>
      </x:c>
    </x:row>
    <x:row r="2">
      <x:c r="A2" s="16" t="str">
        <x:v>New York</x:v>
      </x:c>
      <x:c r="B2" s="16" t="str">
        <x:v>Great Lakes Seaway Trail</x:v>
      </x:c>
      <x:c r="C2" s="16" t="str">
        <x:v>Niagara Falls</x:v>
      </x:c>
      <x:c r="D2" s="16" t="str">
        <x:v>Alexandria Bay</x:v>
      </x:c>
      <x:c r="E2" s="16" t="str">
        <x:v>Lake Ontario shoreline, historic harbor towns, lighthouses, and St. Lawrence River views.</x:v>
      </x:c>
      <x:c r="F2" s="16" t="str">
        <x:v>Great Lakes shoreline</x:v>
      </x:c>
      <x:c r="G2" s="16" t="str">
        <x:v>https://www.byways.org/explore/byways/2489</x:v>
      </x:c>
      <x:c r="H2" s="16" t="str">
        <x:v>https://www.google.com/maps/search/?api=1&amp;query=Great%20Lakes%20Seaway%20Trail%2C%20New%20York</x:v>
      </x:c>
      <x:c r="I2" s="16" t="str">
        <x:v>[[43.083,-79.074],[43.26,-79.06],[43.45,-76.51],[43.96,-76.12],[44.34,-75.92]]</x:v>
      </x:c>
      <x:c r="J2" s="17" t="b">
        <x:v>1</x:v>
      </x:c>
      <x:c r="K2" s="16" t="b">
        <x:f>IFERROR(VLOOKUP(A2,States!$A$2:$B$18,2,FALSE),FALSE)</x:f>
        <x:v>1</x:v>
      </x:c>
      <x:c r="L2" s="16" t="b">
        <x:f>AND(OR(J2=TRUE,J2="TRUE"),OR(K2=TRUE,K2="TRUE"))</x:f>
        <x:v>1</x:v>
      </x:c>
    </x:row>
    <x:row r="3">
      <x:c r="A3" s="16" t="str">
        <x:v>New York</x:v>
      </x:c>
      <x:c r="B3" s="16" t="str">
        <x:v>High Peaks Scenic Byway</x:v>
      </x:c>
      <x:c r="C3" s="16" t="str">
        <x:v>Lake Placid</x:v>
      </x:c>
      <x:c r="D3" s="16" t="str">
        <x:v>Keene Valley</x:v>
      </x:c>
      <x:c r="E3" s="16" t="str">
        <x:v>Adirondack mountain roads, Olympic sites, forests, and trailhead access.</x:v>
      </x:c>
      <x:c r="F3" s="16" t="str">
        <x:v>Mountains and forests</x:v>
      </x:c>
      <x:c r="G3" s="16" t="str">
        <x:v>https://www.iloveny.com/things-to-do/scenic-drives/</x:v>
      </x:c>
      <x:c r="H3" s="16" t="str">
        <x:v>https://www.google.com/maps/search/?api=1&amp;query=High%20Peaks%20Scenic%20Byway%2C%20New%20York</x:v>
      </x:c>
      <x:c r="I3" s="16" t="str">
        <x:v>[[44.279,-73.979],[44.22,-73.79],[44.19,-73.79],[44.16,-73.77]]</x:v>
      </x:c>
      <x:c r="J3" s="17" t="b">
        <x:v>1</x:v>
      </x:c>
      <x:c r="K3" s="16" t="b">
        <x:f>IFERROR(VLOOKUP(A3,States!$A$2:$B$18,2,FALSE),FALSE)</x:f>
        <x:v>1</x:v>
      </x:c>
      <x:c r="L3" s="16" t="b">
        <x:f>AND(OR(J3=TRUE,J3="TRUE"),OR(K3=TRUE,K3="TRUE"))</x:f>
        <x:v>1</x:v>
      </x:c>
    </x:row>
    <x:row r="4">
      <x:c r="A4" s="16" t="str">
        <x:v>Pennsylvania</x:v>
      </x:c>
      <x:c r="B4" s="16" t="str">
        <x:v>Route 6 Heritage Corridor</x:v>
      </x:c>
      <x:c r="C4" s="16" t="str">
        <x:v>Warren</x:v>
      </x:c>
      <x:c r="D4" s="16" t="str">
        <x:v>Scranton</x:v>
      </x:c>
      <x:c r="E4" s="16" t="str">
        <x:v>Northern Pennsylvania towns, forests, lakes, and small museums across a long east-west route.</x:v>
      </x:c>
      <x:c r="F4" s="16" t="str">
        <x:v>Forests and small towns</x:v>
      </x:c>
      <x:c r="G4" s="16" t="str">
        <x:v>https://www.paroute6.com/</x:v>
      </x:c>
      <x:c r="H4" s="16" t="str">
        <x:v>https://www.google.com/maps/search/?api=1&amp;query=Route%206%20Heritage%20Corridor%2C%20Pennsylvania</x:v>
      </x:c>
      <x:c r="I4" s="16" t="str">
        <x:v>[[41.84,-79.15],[41.75,-77.3],[41.7,-76],[41.41,-75.67]]</x:v>
      </x:c>
      <x:c r="J4" s="17" t="b">
        <x:v>1</x:v>
      </x:c>
      <x:c r="K4" s="16" t="b">
        <x:f>IFERROR(VLOOKUP(A4,States!$A$2:$B$18,2,FALSE),FALSE)</x:f>
        <x:v>1</x:v>
      </x:c>
      <x:c r="L4" s="16" t="b">
        <x:f>AND(OR(J4=TRUE,J4="TRUE"),OR(K4=TRUE,K4="TRUE"))</x:f>
        <x:v>1</x:v>
      </x:c>
    </x:row>
    <x:row r="5">
      <x:c r="A5" s="16" t="str">
        <x:v>Pennsylvania</x:v>
      </x:c>
      <x:c r="B5" s="16" t="str">
        <x:v>Laurel Highlands Scenic Byway</x:v>
      </x:c>
      <x:c r="C5" s="16" t="str">
        <x:v>Ohiopyle</x:v>
      </x:c>
      <x:c r="D5" s="16" t="str">
        <x:v>Johnstown</x:v>
      </x:c>
      <x:c r="E5" s="16" t="str">
        <x:v>Ridges, river valleys, Frank Lloyd Wright sites, and state parks in southwestern Pennsylvania.</x:v>
      </x:c>
      <x:c r="F5" s="16" t="str">
        <x:v>Ridges and river valleys</x:v>
      </x:c>
      <x:c r="G5" s="16" t="str">
        <x:v>https://www.laurelhighlands.org/</x:v>
      </x:c>
      <x:c r="H5" s="16" t="str">
        <x:v>https://www.google.com/maps/search/?api=1&amp;query=Laurel%20Highlands%20Scenic%20Byway%2C%20Pennsylvania</x:v>
      </x:c>
      <x:c r="I5" s="16" t="str">
        <x:v>[[39.87,-79.5],[40.03,-79.26],[40.16,-79.08],[40.33,-78.92]]</x:v>
      </x:c>
      <x:c r="J5" s="17" t="b">
        <x:v>1</x:v>
      </x:c>
      <x:c r="K5" s="16" t="b">
        <x:f>IFERROR(VLOOKUP(A5,States!$A$2:$B$18,2,FALSE),FALSE)</x:f>
        <x:v>1</x:v>
      </x:c>
      <x:c r="L5" s="16" t="b">
        <x:f>AND(OR(J5=TRUE,J5="TRUE"),OR(K5=TRUE,K5="TRUE"))</x:f>
        <x:v>1</x:v>
      </x:c>
    </x:row>
    <x:row r="6">
      <x:c r="A6" s="16" t="str">
        <x:v>Ohio</x:v>
      </x:c>
      <x:c r="B6" s="16" t="str">
        <x:v>Lake Erie Coastal Ohio Trail</x:v>
      </x:c>
      <x:c r="C6" s="16" t="str">
        <x:v>Toledo</x:v>
      </x:c>
      <x:c r="D6" s="16" t="str">
        <x:v>Conneaut</x:v>
      </x:c>
      <x:c r="E6" s="16" t="str">
        <x:v>Lake Erie beaches, lighthouses, islands, port cities, and maritime history.</x:v>
      </x:c>
      <x:c r="F6" s="16" t="str">
        <x:v>Great Lakes shoreline</x:v>
      </x:c>
      <x:c r="G6" s="16" t="str">
        <x:v>https://www.shoresandislands.com/</x:v>
      </x:c>
      <x:c r="H6" s="16" t="str">
        <x:v>https://www.google.com/maps/search/?api=1&amp;query=Lake%20Erie%20Coastal%20Ohio%20Trail%2C%20Ohio</x:v>
      </x:c>
      <x:c r="I6" s="16" t="str">
        <x:v>[[41.66,-83.56],[41.5,-82.94],[41.48,-82.68],[41.51,-81.7],[41.95,-80.55]]</x:v>
      </x:c>
      <x:c r="J6" s="17" t="b">
        <x:v>1</x:v>
      </x:c>
      <x:c r="K6" s="16" t="b">
        <x:f>IFERROR(VLOOKUP(A6,States!$A$2:$B$18,2,FALSE),FALSE)</x:f>
        <x:v>1</x:v>
      </x:c>
      <x:c r="L6" s="16" t="b">
        <x:f>AND(OR(J6=TRUE,J6="TRUE"),OR(K6=TRUE,K6="TRUE"))</x:f>
        <x:v>1</x:v>
      </x:c>
    </x:row>
    <x:row r="7">
      <x:c r="A7" s="16" t="str">
        <x:v>Ohio</x:v>
      </x:c>
      <x:c r="B7" s="16" t="str">
        <x:v>Ohio River Scenic Byway</x:v>
      </x:c>
      <x:c r="C7" s="16" t="str">
        <x:v>Cincinnati</x:v>
      </x:c>
      <x:c r="D7" s="16" t="str">
        <x:v>Marietta</x:v>
      </x:c>
      <x:c r="E7" s="16" t="str">
        <x:v>River towns, bridges, historic districts, and Ohio River overlooks.</x:v>
      </x:c>
      <x:c r="F7" s="16" t="str">
        <x:v>River valleys</x:v>
      </x:c>
      <x:c r="G7" s="16" t="str">
        <x:v>https://www.byways.org/explore/byways/2285</x:v>
      </x:c>
      <x:c r="H7" s="16" t="str">
        <x:v>https://www.google.com/maps/search/?api=1&amp;query=Ohio%20River%20Scenic%20Byway%2C%20Ohio</x:v>
      </x:c>
      <x:c r="I7" s="16" t="str">
        <x:v>[[39.1,-84.51],[38.75,-82.99],[38.73,-82.88],[39.42,-81.45]]</x:v>
      </x:c>
      <x:c r="J7" s="17" t="b">
        <x:v>1</x:v>
      </x:c>
      <x:c r="K7" s="16" t="b">
        <x:f>IFERROR(VLOOKUP(A7,States!$A$2:$B$18,2,FALSE),FALSE)</x:f>
        <x:v>1</x:v>
      </x:c>
      <x:c r="L7" s="16" t="b">
        <x:f>AND(OR(J7=TRUE,J7="TRUE"),OR(K7=TRUE,K7="TRUE"))</x:f>
        <x:v>1</x:v>
      </x:c>
    </x:row>
    <x:row r="8">
      <x:c r="A8" s="16" t="str">
        <x:v>Michigan</x:v>
      </x:c>
      <x:c r="B8" s="16" t="str">
        <x:v>M-22 Scenic Drive</x:v>
      </x:c>
      <x:c r="C8" s="16" t="str">
        <x:v>Manistee</x:v>
      </x:c>
      <x:c r="D8" s="16" t="str">
        <x:v>Traverse City</x:v>
      </x:c>
      <x:c r="E8" s="16" t="str">
        <x:v>Lake Michigan beaches, dunes, orchards, villages, and Leelanau Peninsula views.</x:v>
      </x:c>
      <x:c r="F8" s="16" t="str">
        <x:v>Great Lakes shoreline</x:v>
      </x:c>
      <x:c r="G8" s="16" t="str">
        <x:v>https://www.michigan.org/article/trip-idea/m-22-scenic-drive</x:v>
      </x:c>
      <x:c r="H8" s="16" t="str">
        <x:v>https://www.google.com/maps/search/?api=1&amp;query=M-22%20Scenic%20Drive%2C%20Michigan</x:v>
      </x:c>
      <x:c r="I8" s="16" t="str">
        <x:v>[[44.25,-86.32],[44.67,-86.21],[44.88,-86.07],[45,-85.76],[44.76,-85.62]]</x:v>
      </x:c>
      <x:c r="J8" s="17" t="b">
        <x:v>1</x:v>
      </x:c>
      <x:c r="K8" s="16" t="b">
        <x:f>IFERROR(VLOOKUP(A8,States!$A$2:$B$18,2,FALSE),FALSE)</x:f>
        <x:v>1</x:v>
      </x:c>
      <x:c r="L8" s="16" t="b">
        <x:f>AND(OR(J8=TRUE,J8="TRUE"),OR(K8=TRUE,K8="TRUE"))</x:f>
        <x:v>1</x:v>
      </x:c>
    </x:row>
    <x:row r="9">
      <x:c r="A9" s="16" t="str">
        <x:v>Michigan</x:v>
      </x:c>
      <x:c r="B9" s="16" t="str">
        <x:v>Keweenaw Peninsula Scenic Drive</x:v>
      </x:c>
      <x:c r="C9" s="16" t="str">
        <x:v>Houghton</x:v>
      </x:c>
      <x:c r="D9" s="16" t="str">
        <x:v>Copper Harbor</x:v>
      </x:c>
      <x:c r="E9" s="16" t="str">
        <x:v>Copper-mining towns, rugged Lake Superior shorelines, forests, and remote overlooks.</x:v>
      </x:c>
      <x:c r="F9" s="16" t="str">
        <x:v>Lake Superior and forests</x:v>
      </x:c>
      <x:c r="G9" s="16" t="str">
        <x:v>https://www.michigan.org/</x:v>
      </x:c>
      <x:c r="H9" s="16" t="str">
        <x:v>https://www.google.com/maps/search/?api=1&amp;query=Keweenaw%20Peninsula%20Scenic%20Drive%2C%20Michigan</x:v>
      </x:c>
      <x:c r="I9" s="16" t="str">
        <x:v>[[47.12,-88.57],[47.24,-88.45],[47.39,-88.19],[47.47,-87.89]]</x:v>
      </x:c>
      <x:c r="J9" s="17" t="b">
        <x:v>1</x:v>
      </x:c>
      <x:c r="K9" s="16" t="b">
        <x:f>IFERROR(VLOOKUP(A9,States!$A$2:$B$18,2,FALSE),FALSE)</x:f>
        <x:v>1</x:v>
      </x:c>
      <x:c r="L9" s="16" t="b">
        <x:f>AND(OR(J9=TRUE,J9="TRUE"),OR(K9=TRUE,K9="TRUE"))</x:f>
        <x:v>1</x:v>
      </x:c>
    </x:row>
    <x:row r="10">
      <x:c r="A10" s="16" t="str">
        <x:v>Indiana</x:v>
      </x:c>
      <x:c r="B10" s="16" t="str">
        <x:v>Ohio River Scenic Byway</x:v>
      </x:c>
      <x:c r="C10" s="16" t="str">
        <x:v>Madison</x:v>
      </x:c>
      <x:c r="D10" s="16" t="str">
        <x:v>Corydon</x:v>
      </x:c>
      <x:c r="E10" s="16" t="str">
        <x:v>Historic river towns, limestone bluffs, bridges, and southern Indiana landscapes.</x:v>
      </x:c>
      <x:c r="F10" s="16" t="str">
        <x:v>River bluffs</x:v>
      </x:c>
      <x:c r="G10" s="16" t="str">
        <x:v>https://www.byways.org/explore/byways/2285</x:v>
      </x:c>
      <x:c r="H10" s="16" t="str">
        <x:v>https://www.google.com/maps/search/?api=1&amp;query=Ohio%20River%20Scenic%20Byway%2C%20Indiana</x:v>
      </x:c>
      <x:c r="I10" s="16" t="str">
        <x:v>[[38.76,-85.42],[38.29,-85.76],[38.21,-86.13],[37.97,-87.57]]</x:v>
      </x:c>
      <x:c r="J10" s="17" t="b">
        <x:v>1</x:v>
      </x:c>
      <x:c r="K10" s="16" t="b">
        <x:f>IFERROR(VLOOKUP(A10,States!$A$2:$B$18,2,FALSE),FALSE)</x:f>
        <x:v>1</x:v>
      </x:c>
      <x:c r="L10" s="16" t="b">
        <x:f>AND(OR(J10=TRUE,J10="TRUE"),OR(K10=TRUE,K10="TRUE"))</x:f>
        <x:v>1</x:v>
      </x:c>
    </x:row>
    <x:row r="11">
      <x:c r="A11" s="16" t="str">
        <x:v>Indiana</x:v>
      </x:c>
      <x:c r="B11" s="16" t="str">
        <x:v>Historic Michigan Road</x:v>
      </x:c>
      <x:c r="C11" s="16" t="str">
        <x:v>Madison</x:v>
      </x:c>
      <x:c r="D11" s="16" t="str">
        <x:v>South Bend</x:v>
      </x:c>
      <x:c r="E11" s="16" t="str">
        <x:v>Early-state road corridor connecting towns, architecture, and Indiana history.</x:v>
      </x:c>
      <x:c r="F11" s="16" t="str">
        <x:v>Historic towns and farmland</x:v>
      </x:c>
      <x:c r="G11" s="16" t="str">
        <x:v>https://www.visitindiana.com/</x:v>
      </x:c>
      <x:c r="H11" s="16" t="str">
        <x:v>https://www.google.com/maps/search/?api=1&amp;query=Historic%20Michigan%20Road%2C%20Indiana</x:v>
      </x:c>
      <x:c r="I11" s="16" t="str">
        <x:v>[[38.76,-85.42],[39.77,-86.16],[40.05,-86.47],[41.68,-86.25]]</x:v>
      </x:c>
      <x:c r="J11" s="17" t="b">
        <x:v>1</x:v>
      </x:c>
      <x:c r="K11" s="16" t="b">
        <x:f>IFERROR(VLOOKUP(A11,States!$A$2:$B$18,2,FALSE),FALSE)</x:f>
        <x:v>1</x:v>
      </x:c>
      <x:c r="L11" s="16" t="b">
        <x:f>AND(OR(J11=TRUE,J11="TRUE"),OR(K11=TRUE,K11="TRUE"))</x:f>
        <x:v>1</x:v>
      </x:c>
    </x:row>
    <x:row r="12">
      <x:c r="A12" s="16" t="str">
        <x:v>Illinois</x:v>
      </x:c>
      <x:c r="B12" s="16" t="str">
        <x:v>Great River Road Illinois</x:v>
      </x:c>
      <x:c r="C12" s="16" t="str">
        <x:v>Galena</x:v>
      </x:c>
      <x:c r="D12" s="16" t="str">
        <x:v>Cairo</x:v>
      </x:c>
      <x:c r="E12" s="16" t="str">
        <x:v>Mississippi River bluffs, small towns, overlooks, and river history along western Illinois.</x:v>
      </x:c>
      <x:c r="F12" s="16" t="str">
        <x:v>River bluffs</x:v>
      </x:c>
      <x:c r="G12" s="16" t="str">
        <x:v>https://www.greatriverroad-illinois.org/</x:v>
      </x:c>
      <x:c r="H12" s="16" t="str">
        <x:v>https://www.google.com/maps/search/?api=1&amp;query=Great%20River%20Road%20Illinois%2C%20Illinois</x:v>
      </x:c>
      <x:c r="I12" s="16" t="str">
        <x:v>[[42.42,-90.43],[41.51,-90.52],[39.93,-91.41],[38.89,-90.18],[37,-89.18]]</x:v>
      </x:c>
      <x:c r="J12" s="17" t="b">
        <x:v>1</x:v>
      </x:c>
      <x:c r="K12" s="16" t="b">
        <x:f>IFERROR(VLOOKUP(A12,States!$A$2:$B$18,2,FALSE),FALSE)</x:f>
        <x:v>1</x:v>
      </x:c>
      <x:c r="L12" s="16" t="b">
        <x:f>AND(OR(J12=TRUE,J12="TRUE"),OR(K12=TRUE,K12="TRUE"))</x:f>
        <x:v>1</x:v>
      </x:c>
    </x:row>
    <x:row r="13">
      <x:c r="A13" s="16" t="str">
        <x:v>Illinois</x:v>
      </x:c>
      <x:c r="B13" s="16" t="str">
        <x:v>Illinois Route 66 Scenic Byway</x:v>
      </x:c>
      <x:c r="C13" s="16" t="str">
        <x:v>Chicago</x:v>
      </x:c>
      <x:c r="D13" s="16" t="str">
        <x:v>St. Louis</x:v>
      </x:c>
      <x:c r="E13" s="16" t="str">
        <x:v>Classic roadside stops, diners, murals, neon, and Route 66 nostalgia.</x:v>
      </x:c>
      <x:c r="F13" s="16" t="str">
        <x:v>Roadside Americana</x:v>
      </x:c>
      <x:c r="G13" s="16" t="str">
        <x:v>https://illinoisroute66.org/</x:v>
      </x:c>
      <x:c r="H13" s="16" t="str">
        <x:v>https://www.google.com/maps/search/?api=1&amp;query=Illinois%20Route%2066%20Scenic%20Byway%2C%20Illinois</x:v>
      </x:c>
      <x:c r="I13" s="16" t="str">
        <x:v>[[41.88,-87.63],[41.53,-88.08],[40.88,-88.63],[39.78,-89.65],[38.63,-90.2]]</x:v>
      </x:c>
      <x:c r="J13" s="17" t="b">
        <x:v>1</x:v>
      </x:c>
      <x:c r="K13" s="16" t="b">
        <x:f>IFERROR(VLOOKUP(A13,States!$A$2:$B$18,2,FALSE),FALSE)</x:f>
        <x:v>1</x:v>
      </x:c>
      <x:c r="L13" s="16" t="b">
        <x:f>AND(OR(J13=TRUE,J13="TRUE"),OR(K13=TRUE,K13="TRUE"))</x:f>
        <x:v>1</x:v>
      </x:c>
    </x:row>
    <x:row r="14">
      <x:c r="A14" s="16" t="str">
        <x:v>Wisconsin</x:v>
      </x:c>
      <x:c r="B14" s="16" t="str">
        <x:v>Wisconsin Great River Road</x:v>
      </x:c>
      <x:c r="C14" s="16" t="str">
        <x:v>Prescott</x:v>
      </x:c>
      <x:c r="D14" s="16" t="str">
        <x:v>Kieler</x:v>
      </x:c>
      <x:c r="E14" s="16" t="str">
        <x:v>Mississippi River bluffs, river towns, overlooks, and eagle-watching pullouts.</x:v>
      </x:c>
      <x:c r="F14" s="16" t="str">
        <x:v>River bluffs</x:v>
      </x:c>
      <x:c r="G14" s="16" t="str">
        <x:v>https://wisconsindot.gov/Pages/travel/road/scenic-ways/byways.aspx</x:v>
      </x:c>
      <x:c r="H14" s="16" t="str">
        <x:v>https://www.google.com/maps/search/?api=1&amp;query=Wisconsin%20Great%20River%20Road%2C%20Wisconsin</x:v>
      </x:c>
      <x:c r="I14" s="16" t="str">
        <x:v>[[44.75,-92.8],[44.38,-91.93],[43.81,-91.25],[43.05,-91.14],[42.58,-90.6]]</x:v>
      </x:c>
      <x:c r="J14" s="17" t="b">
        <x:v>1</x:v>
      </x:c>
      <x:c r="K14" s="16" t="b">
        <x:f>IFERROR(VLOOKUP(A14,States!$A$2:$B$18,2,FALSE),FALSE)</x:f>
        <x:v>1</x:v>
      </x:c>
      <x:c r="L14" s="16" t="b">
        <x:f>AND(OR(J14=TRUE,J14="TRUE"),OR(K14=TRUE,K14="TRUE"))</x:f>
        <x:v>1</x:v>
      </x:c>
    </x:row>
    <x:row r="15">
      <x:c r="A15" s="16" t="str">
        <x:v>Wisconsin</x:v>
      </x:c>
      <x:c r="B15" s="16" t="str">
        <x:v>Door County Coastal Byway</x:v>
      </x:c>
      <x:c r="C15" s="16" t="str">
        <x:v>Sturgeon Bay</x:v>
      </x:c>
      <x:c r="D15" s="16" t="str">
        <x:v>Northport</x:v>
      </x:c>
      <x:c r="E15" s="16" t="str">
        <x:v>Peninsula villages, Lake Michigan and Green Bay shorelines, lighthouses, and orchards.</x:v>
      </x:c>
      <x:c r="F15" s="16" t="str">
        <x:v>Coastal villages</x:v>
      </x:c>
      <x:c r="G15" s="16" t="str">
        <x:v>https://doorcountycoastalbyway.org/</x:v>
      </x:c>
      <x:c r="H15" s="16" t="str">
        <x:v>https://www.google.com/maps/search/?api=1&amp;query=Door%20County%20Coastal%20Byway%2C%20Wisconsin</x:v>
      </x:c>
      <x:c r="I15" s="16" t="str">
        <x:v>[[44.84,-87.38],[45.05,-87.28],[45.13,-87.25],[45.21,-87.07],[45.29,-86.99]]</x:v>
      </x:c>
      <x:c r="J15" s="17" t="b">
        <x:v>1</x:v>
      </x:c>
      <x:c r="K15" s="16" t="b">
        <x:f>IFERROR(VLOOKUP(A15,States!$A$2:$B$18,2,FALSE),FALSE)</x:f>
        <x:v>1</x:v>
      </x:c>
      <x:c r="L15" s="16" t="b">
        <x:f>AND(OR(J15=TRUE,J15="TRUE"),OR(K15=TRUE,K15="TRUE"))</x:f>
        <x:v>1</x:v>
      </x:c>
    </x:row>
    <x:row r="16">
      <x:c r="A16" s="16" t="str">
        <x:v>Minnesota</x:v>
      </x:c>
      <x:c r="B16" s="16" t="str">
        <x:v>North Shore Scenic Drive</x:v>
      </x:c>
      <x:c r="C16" s="16" t="str">
        <x:v>Duluth</x:v>
      </x:c>
      <x:c r="D16" s="16" t="str">
        <x:v>Grand Portage</x:v>
      </x:c>
      <x:c r="E16" s="16" t="str">
        <x:v>Lake Superior cliffs, waterfalls, harbors, state parks, and boreal forest.</x:v>
      </x:c>
      <x:c r="F16" s="16" t="str">
        <x:v>Lake Superior cliffs</x:v>
      </x:c>
      <x:c r="G16" s="16" t="str">
        <x:v>https://www.exploreminnesota.com/profile/north-shore-scenic-drive/2342</x:v>
      </x:c>
      <x:c r="H16" s="16" t="str">
        <x:v>https://www.google.com/maps/search/?api=1&amp;query=North%20Shore%20Scenic%20Drive%2C%20Minnesota</x:v>
      </x:c>
      <x:c r="I16" s="16" t="str">
        <x:v>[[46.79,-92.1],[47.14,-91.46],[47.64,-90.71],[47.75,-90.33],[47.96,-89.69]]</x:v>
      </x:c>
      <x:c r="J16" s="17" t="b">
        <x:v>1</x:v>
      </x:c>
      <x:c r="K16" s="16" t="b">
        <x:f>IFERROR(VLOOKUP(A16,States!$A$2:$B$18,2,FALSE),FALSE)</x:f>
        <x:v>1</x:v>
      </x:c>
      <x:c r="L16" s="16" t="b">
        <x:f>AND(OR(J16=TRUE,J16="TRUE"),OR(K16=TRUE,K16="TRUE"))</x:f>
        <x:v>1</x:v>
      </x:c>
    </x:row>
    <x:row r="17">
      <x:c r="A17" s="16" t="str">
        <x:v>Minnesota</x:v>
      </x:c>
      <x:c r="B17" s="16" t="str">
        <x:v>Great River Road Minnesota</x:v>
      </x:c>
      <x:c r="C17" s="16" t="str">
        <x:v>Bemidji</x:v>
      </x:c>
      <x:c r="D17" s="16" t="str">
        <x:v>La Crescent</x:v>
      </x:c>
      <x:c r="E17" s="16" t="str">
        <x:v>Mississippi headwaters, river towns, bluffs, parks, and cultural sites.</x:v>
      </x:c>
      <x:c r="F17" s="16" t="str">
        <x:v>River valleys and bluffs</x:v>
      </x:c>
      <x:c r="G17" s="16" t="str">
        <x:v>https://www.mnmississippiriver.com/</x:v>
      </x:c>
      <x:c r="H17" s="16" t="str">
        <x:v>https://www.google.com/maps/search/?api=1&amp;query=Great%20River%20Road%20Minnesota%2C%20Minnesota</x:v>
      </x:c>
      <x:c r="I17" s="16" t="str">
        <x:v>[[47.47,-94.88],[46.36,-94.2],[45.56,-94.16],[44.95,-93.1],[43.83,-91.3]]</x:v>
      </x:c>
      <x:c r="J17" s="17" t="b">
        <x:v>1</x:v>
      </x:c>
      <x:c r="K17" s="16" t="b">
        <x:f>IFERROR(VLOOKUP(A17,States!$A$2:$B$18,2,FALSE),FALSE)</x:f>
        <x:v>1</x:v>
      </x:c>
      <x:c r="L17" s="16" t="b">
        <x:f>AND(OR(J17=TRUE,J17="TRUE"),OR(K17=TRUE,K17="TRUE"))</x:f>
        <x:v>1</x:v>
      </x:c>
    </x:row>
    <x:row r="18">
      <x:c r="A18" s="16" t="str">
        <x:v>Iowa</x:v>
      </x:c>
      <x:c r="B18" s="16" t="str">
        <x:v>Loess Hills National Scenic Byway</x:v>
      </x:c>
      <x:c r="C18" s="16" t="str">
        <x:v>Akron</x:v>
      </x:c>
      <x:c r="D18" s="16" t="str">
        <x:v>Hamburg</x:v>
      </x:c>
      <x:c r="E18" s="16" t="str">
        <x:v>Wind-formed hills, prairie remnants, overlooks, and western Iowa small towns.</x:v>
      </x:c>
      <x:c r="F18" s="16" t="str">
        <x:v>Prairie hills</x:v>
      </x:c>
      <x:c r="G18" s="16" t="str">
        <x:v>https://www.traveliowa.com/trails/loess-hills-national-scenic-byway/15/</x:v>
      </x:c>
      <x:c r="H18" s="16" t="str">
        <x:v>https://www.google.com/maps/search/?api=1&amp;query=Loess%20Hills%20National%20Scenic%20Byway%2C%20Iowa</x:v>
      </x:c>
      <x:c r="I18" s="16" t="str">
        <x:v>[[42.83,-96.56],[42.5,-96.41],[41.26,-95.86],[40.61,-95.66]]</x:v>
      </x:c>
      <x:c r="J18" s="17" t="b">
        <x:v>1</x:v>
      </x:c>
      <x:c r="K18" s="16" t="b">
        <x:f>IFERROR(VLOOKUP(A18,States!$A$2:$B$18,2,FALSE),FALSE)</x:f>
        <x:v>1</x:v>
      </x:c>
      <x:c r="L18" s="16" t="b">
        <x:f>AND(OR(J18=TRUE,J18="TRUE"),OR(K18=TRUE,K18="TRUE"))</x:f>
        <x:v>1</x:v>
      </x:c>
    </x:row>
    <x:row r="19">
      <x:c r="A19" s="16" t="str">
        <x:v>Iowa</x:v>
      </x:c>
      <x:c r="B19" s="16" t="str">
        <x:v>Iowa Great River Road</x:v>
      </x:c>
      <x:c r="C19" s="16" t="str">
        <x:v>Lansing</x:v>
      </x:c>
      <x:c r="D19" s="16" t="str">
        <x:v>Keokuk</x:v>
      </x:c>
      <x:c r="E19" s="16" t="str">
        <x:v>Mississippi River bluffs, river towns, museums, locks, and scenic overlooks.</x:v>
      </x:c>
      <x:c r="F19" s="16" t="str">
        <x:v>River bluffs</x:v>
      </x:c>
      <x:c r="G19" s="16" t="str">
        <x:v>https://www.traveliowa.com/trails/great-river-road-national-scenic-byway/13/</x:v>
      </x:c>
      <x:c r="H19" s="16" t="str">
        <x:v>https://www.google.com/maps/search/?api=1&amp;query=Iowa%20Great%20River%20Road%2C%20Iowa</x:v>
      </x:c>
      <x:c r="I19" s="16" t="str">
        <x:v>[[43.36,-91.22],[42.5,-90.67],[41.52,-90.57],[40.4,-91.38]]</x:v>
      </x:c>
      <x:c r="J19" s="17" t="b">
        <x:v>1</x:v>
      </x:c>
      <x:c r="K19" s="16" t="b">
        <x:f>IFERROR(VLOOKUP(A19,States!$A$2:$B$18,2,FALSE),FALSE)</x:f>
        <x:v>1</x:v>
      </x:c>
      <x:c r="L19" s="16" t="b">
        <x:f>AND(OR(J19=TRUE,J19="TRUE"),OR(K19=TRUE,K19="TRUE"))</x:f>
        <x:v>1</x:v>
      </x:c>
    </x:row>
    <x:row r="20">
      <x:c r="A20" s="16" t="str">
        <x:v>North Dakota</x:v>
      </x:c>
      <x:c r="B20" s="16" t="str">
        <x:v>Sheyenne River Valley National Scenic Byway</x:v>
      </x:c>
      <x:c r="C20" s="16" t="str">
        <x:v>Valley City</x:v>
      </x:c>
      <x:c r="D20" s="16" t="str">
        <x:v>Lisbon</x:v>
      </x:c>
      <x:c r="E20" s="16" t="str">
        <x:v>Rolling river valley, prairie bridges, historic sites, and small towns.</x:v>
      </x:c>
      <x:c r="F20" s="16" t="str">
        <x:v>Prairie river valley</x:v>
      </x:c>
      <x:c r="G20" s="16" t="str">
        <x:v>https://www.ndtourism.com/</x:v>
      </x:c>
      <x:c r="H20" s="16" t="str">
        <x:v>https://www.google.com/maps/search/?api=1&amp;query=Sheyenne%20River%20Valley%20National%20Scenic%20Byway%2C%20North%20Dakota</x:v>
      </x:c>
      <x:c r="I20" s="16" t="str">
        <x:v>[[46.92,-98],[46.78,-97.98],[46.44,-97.68]]</x:v>
      </x:c>
      <x:c r="J20" s="17" t="b">
        <x:v>1</x:v>
      </x:c>
      <x:c r="K20" s="16" t="b">
        <x:f>IFERROR(VLOOKUP(A20,States!$A$2:$B$18,2,FALSE),FALSE)</x:f>
        <x:v>1</x:v>
      </x:c>
      <x:c r="L20" s="16" t="b">
        <x:f>AND(OR(J20=TRUE,J20="TRUE"),OR(K20=TRUE,K20="TRUE"))</x:f>
        <x:v>1</x:v>
      </x:c>
    </x:row>
    <x:row r="21">
      <x:c r="A21" s="16" t="str">
        <x:v>North Dakota</x:v>
      </x:c>
      <x:c r="B21" s="16" t="str">
        <x:v>Killdeer Mountain Four Bears Scenic Byway</x:v>
      </x:c>
      <x:c r="C21" s="16" t="str">
        <x:v>Manning</x:v>
      </x:c>
      <x:c r="D21" s="16" t="str">
        <x:v>New Town</x:v>
      </x:c>
      <x:c r="E21" s="16" t="str">
        <x:v>Badlands edges, prairie, lake views, and cultural-history stops.</x:v>
      </x:c>
      <x:c r="F21" s="16" t="str">
        <x:v>Badlands and prairie</x:v>
      </x:c>
      <x:c r="G21" s="16" t="str">
        <x:v>https://www.ndtourism.com/</x:v>
      </x:c>
      <x:c r="H21" s="16" t="str">
        <x:v>https://www.google.com/maps/search/?api=1&amp;query=Killdeer%20Mountain%20Four%20Bears%20Scenic%20Byway%2C%20North%20Dakota</x:v>
      </x:c>
      <x:c r="I21" s="16" t="str">
        <x:v>[[47.23,-102.77],[47.39,-102.32],[47.98,-102.49]]</x:v>
      </x:c>
      <x:c r="J21" s="17" t="b">
        <x:v>1</x:v>
      </x:c>
      <x:c r="K21" s="16" t="b">
        <x:f>IFERROR(VLOOKUP(A21,States!$A$2:$B$18,2,FALSE),FALSE)</x:f>
        <x:v>1</x:v>
      </x:c>
      <x:c r="L21" s="16" t="b">
        <x:f>AND(OR(J21=TRUE,J21="TRUE"),OR(K21=TRUE,K21="TRUE"))</x:f>
        <x:v>1</x:v>
      </x:c>
    </x:row>
    <x:row r="22">
      <x:c r="A22" s="16" t="str">
        <x:v>South Dakota</x:v>
      </x:c>
      <x:c r="B22" s="16" t="str">
        <x:v>Peter Norbeck Scenic Byway</x:v>
      </x:c>
      <x:c r="C22" s="16" t="str">
        <x:v>Custer</x:v>
      </x:c>
      <x:c r="D22" s="16" t="str">
        <x:v>Mount Rushmore</x:v>
      </x:c>
      <x:c r="E22" s="16" t="str">
        <x:v>Granite tunnels, pigtail bridges, Black Hills forests, and landmark views.</x:v>
      </x:c>
      <x:c r="F22" s="16" t="str">
        <x:v>Granite mountains</x:v>
      </x:c>
      <x:c r="G22" s="16" t="str">
        <x:v>https://www.travelsouthdakota.com/trip-ideas/article/peter-norbeck-scenic-byway</x:v>
      </x:c>
      <x:c r="H22" s="16" t="str">
        <x:v>https://www.google.com/maps/search/?api=1&amp;query=Peter%20Norbeck%20Scenic%20Byway%2C%20South%20Dakota</x:v>
      </x:c>
      <x:c r="I22" s="16" t="str">
        <x:v>[[43.76,-103.6],[43.84,-103.56],[43.87,-103.48],[43.88,-103.46]]</x:v>
      </x:c>
      <x:c r="J22" s="17" t="b">
        <x:v>1</x:v>
      </x:c>
      <x:c r="K22" s="16" t="b">
        <x:f>IFERROR(VLOOKUP(A22,States!$A$2:$B$18,2,FALSE),FALSE)</x:f>
        <x:v>1</x:v>
      </x:c>
      <x:c r="L22" s="16" t="b">
        <x:f>AND(OR(J22=TRUE,J22="TRUE"),OR(K22=TRUE,K22="TRUE"))</x:f>
        <x:v>1</x:v>
      </x:c>
    </x:row>
    <x:row r="23">
      <x:c r="A23" s="16" t="str">
        <x:v>South Dakota</x:v>
      </x:c>
      <x:c r="B23" s="16" t="str">
        <x:v>Spearfish Canyon Scenic Byway</x:v>
      </x:c>
      <x:c r="C23" s="16" t="str">
        <x:v>Spearfish</x:v>
      </x:c>
      <x:c r="D23" s="16" t="str">
        <x:v>Cheyenne Crossing</x:v>
      </x:c>
      <x:c r="E23" s="16" t="str">
        <x:v>Limestone canyon walls, waterfalls, trout streams, and forest colors.</x:v>
      </x:c>
      <x:c r="F23" s="16" t="str">
        <x:v>Canyon and forest</x:v>
      </x:c>
      <x:c r="G23" s="16" t="str">
        <x:v>https://www.travelsouthdakota.com/trip-ideas/article/spearfish-canyon-scenic-byway</x:v>
      </x:c>
      <x:c r="H23" s="16" t="str">
        <x:v>https://www.google.com/maps/search/?api=1&amp;query=Spearfish%20Canyon%20Scenic%20Byway%2C%20South%20Dakota</x:v>
      </x:c>
      <x:c r="I23" s="16" t="str">
        <x:v>[[44.49,-103.86],[44.35,-103.92],[44.29,-103.87]]</x:v>
      </x:c>
      <x:c r="J23" s="17" t="b">
        <x:v>1</x:v>
      </x:c>
      <x:c r="K23" s="16" t="b">
        <x:f>IFERROR(VLOOKUP(A23,States!$A$2:$B$18,2,FALSE),FALSE)</x:f>
        <x:v>1</x:v>
      </x:c>
      <x:c r="L23" s="16" t="b">
        <x:f>AND(OR(J23=TRUE,J23="TRUE"),OR(K23=TRUE,K23="TRUE"))</x:f>
        <x:v>1</x:v>
      </x:c>
    </x:row>
    <x:row r="24">
      <x:c r="A24" s="16" t="str">
        <x:v>Nebraska</x:v>
      </x:c>
      <x:c r="B24" s="16" t="str">
        <x:v>Sandhills Journey National Scenic Byway</x:v>
      </x:c>
      <x:c r="C24" s="16" t="str">
        <x:v>Grand Island</x:v>
      </x:c>
      <x:c r="D24" s="16" t="str">
        <x:v>Alliance</x:v>
      </x:c>
      <x:c r="E24" s="16" t="str">
        <x:v>Nebraska Highway 2 crosses rolling Sandhills, prairie rivers, crane country, starry skies, and national forest scenery.</x:v>
      </x:c>
      <x:c r="F24" s="16" t="str">
        <x:v>Sandhills and prairie</x:v>
      </x:c>
      <x:c r="G24" s="16" t="str">
        <x:v>https://visitnebraska.com/scenic-byways</x:v>
      </x:c>
      <x:c r="H24" s="16" t="str">
        <x:v>https://www.google.com/maps/search/?api=1&amp;query=Sandhills%20Journey%20National%20Scenic%20Byway%2C%20Nebraska</x:v>
      </x:c>
      <x:c r="I24" s="16" t="str">
        <x:v>[[40.924,-98.342],[40.998,-98.912],[41.404,-99.639],[41.902,-100.29],[42.05,-101.064],[42.1,-102.87]]</x:v>
      </x:c>
      <x:c r="J24" s="17" t="b">
        <x:v>1</x:v>
      </x:c>
      <x:c r="K24" s="16" t="b">
        <x:f>IFERROR(VLOOKUP(A24,States!$A$2:$B$18,2,FALSE),FALSE)</x:f>
        <x:v>1</x:v>
      </x:c>
      <x:c r="L24" s="16" t="b">
        <x:f>AND(OR(J24=TRUE,J24="TRUE"),OR(K24=TRUE,K24="TRUE"))</x:f>
        <x:v>1</x:v>
      </x:c>
    </x:row>
    <x:row r="25">
      <x:c r="A25" s="16" t="str">
        <x:v>Nebraska</x:v>
      </x:c>
      <x:c r="B25" s="16" t="str">
        <x:v>Outlaw Trail Scenic Byway</x:v>
      </x:c>
      <x:c r="C25" s="16" t="str">
        <x:v>South Sioux City</x:v>
      </x:c>
      <x:c r="D25" s="16" t="str">
        <x:v>Valentine</x:v>
      </x:c>
      <x:c r="E25" s="16" t="str">
        <x:v>Nebraska Highway 12 follows Missouri and Niobrara River country, bluffs, tribal lands, small towns, and outlaw-era stories.</x:v>
      </x:c>
      <x:c r="F25" s="16" t="str">
        <x:v>River bluffs and Sandhills</x:v>
      </x:c>
      <x:c r="G25" s="16" t="str">
        <x:v>https://visitnebraska.com/scenic-byways</x:v>
      </x:c>
      <x:c r="H25" s="16" t="str">
        <x:v>https://www.google.com/maps/search/?api=1&amp;query=Outlaw%20Trail%20Scenic%20Byway%2C%20Nebraska</x:v>
      </x:c>
      <x:c r="I25" s="16" t="str">
        <x:v>[[42.474,-96.414],[42.809,-97.498],[42.835,-98.47],[42.872,-99.715],[42.872,-100.551]]</x:v>
      </x:c>
      <x:c r="J25" s="17" t="b">
        <x:v>1</x:v>
      </x:c>
      <x:c r="K25" s="16" t="b">
        <x:f>IFERROR(VLOOKUP(A25,States!$A$2:$B$18,2,FALSE),FALSE)</x:f>
        <x:v>1</x:v>
      </x:c>
      <x:c r="L25" s="16" t="b">
        <x:f>AND(OR(J25=TRUE,J25="TRUE"),OR(K25=TRUE,K25="TRUE"))</x:f>
        <x:v>1</x:v>
      </x:c>
    </x:row>
    <x:row r="26">
      <x:c r="A26" s="16" t="str">
        <x:v>Nebraska</x:v>
      </x:c>
      <x:c r="B26" s="16" t="str">
        <x:v>Western Trails Scenic and Historic Byway</x:v>
      </x:c>
      <x:c r="C26" s="16" t="str">
        <x:v>Ogallala</x:v>
      </x:c>
      <x:c r="D26" s="16" t="str">
        <x:v>Wyoming border</x:v>
      </x:c>
      <x:c r="E26" s="16" t="str">
        <x:v>U.S. 26 and Nebraska 92 trace Oregon Trail landmarks, Lake McConaughy, Chimney Rock, and Scotts Bluff.</x:v>
      </x:c>
      <x:c r="F26" s="16" t="str">
        <x:v>Trail landmarks and bluffs</x:v>
      </x:c>
      <x:c r="G26" s="16" t="str">
        <x:v>https://dot.nebraska.gov/travel/scenic-byways/</x:v>
      </x:c>
      <x:c r="H26" s="16" t="str">
        <x:v>https://www.google.com/maps/search/?api=1&amp;query=Western%20Trails%20Scenic%20and%20Historic%20Byway%2C%20Nebraska</x:v>
      </x:c>
      <x:c r="I26" s="16" t="str">
        <x:v>[[41.128,-101.719],[41.48,-102.78],[41.703,-103.349],[41.835,-103.707],[41.866,-104.03]]</x:v>
      </x:c>
      <x:c r="J26" s="17" t="b">
        <x:v>1</x:v>
      </x:c>
      <x:c r="K26" s="16" t="b">
        <x:f>IFERROR(VLOOKUP(A26,States!$A$2:$B$18,2,FALSE),FALSE)</x:f>
        <x:v>1</x:v>
      </x:c>
      <x:c r="L26" s="16" t="b">
        <x:f>AND(OR(J26=TRUE,J26="TRUE"),OR(K26=TRUE,K26="TRUE"))</x:f>
        <x:v>1</x:v>
      </x:c>
    </x:row>
    <x:row r="27">
      <x:c r="A27" s="16" t="str">
        <x:v>Nebraska</x:v>
      </x:c>
      <x:c r="B27" s="16" t="str">
        <x:v>385-Gold Rush Scenic Byway</x:v>
      </x:c>
      <x:c r="C27" s="16" t="str">
        <x:v>Chadron</x:v>
      </x:c>
      <x:c r="D27" s="16" t="str">
        <x:v>Sidney</x:v>
      </x:c>
      <x:c r="E27" s="16" t="str">
        <x:v>U.S. 385 crosses Panhandle buttes, pine ridges, Carhenge, ranch country, and Sidney-Deadwood Trail history.</x:v>
      </x:c>
      <x:c r="F27" s="16" t="str">
        <x:v>Buttes and High Plains</x:v>
      </x:c>
      <x:c r="G27" s="16" t="str">
        <x:v>https://dot.nebraska.gov/travel/scenic-byways/</x:v>
      </x:c>
      <x:c r="H27" s="16" t="str">
        <x:v>https://www.google.com/maps/search/?api=1&amp;query=385-Gold%20Rush%20Scenic%20Byway%2C%20Nebraska</x:v>
      </x:c>
      <x:c r="I27" s="16" t="str">
        <x:v>[[42.829,-103.001],[42.67,-103.751],[42.142,-102.858],[41.866,-103.664],[41.142,-102.978]]</x:v>
      </x:c>
      <x:c r="J27" s="17" t="b">
        <x:v>1</x:v>
      </x:c>
      <x:c r="K27" s="16" t="b">
        <x:f>IFERROR(VLOOKUP(A27,States!$A$2:$B$18,2,FALSE),FALSE)</x:f>
        <x:v>1</x:v>
      </x:c>
      <x:c r="L27" s="16" t="b">
        <x:f>AND(OR(J27=TRUE,J27="TRUE"),OR(K27=TRUE,K27="TRUE"))</x:f>
        <x:v>1</x:v>
      </x:c>
    </x:row>
    <x:row r="28">
      <x:c r="A28" s="16" t="str">
        <x:v>Montana</x:v>
      </x:c>
      <x:c r="B28" s="16" t="str">
        <x:v>Beartooth Highway</x:v>
      </x:c>
      <x:c r="C28" s="16" t="str">
        <x:v>Red Lodge</x:v>
      </x:c>
      <x:c r="D28" s="16" t="str">
        <x:v>Cooke City</x:v>
      </x:c>
      <x:c r="E28" s="16" t="str">
        <x:v>High alpine switchbacks, tundra, lakes, and vast mountain views.</x:v>
      </x:c>
      <x:c r="F28" s="16" t="str">
        <x:v>Alpine mountains</x:v>
      </x:c>
      <x:c r="G28" s="16" t="str">
        <x:v>https://www.byways.org/explore/byways/2281</x:v>
      </x:c>
      <x:c r="H28" s="16" t="str">
        <x:v>https://www.google.com/maps/search/?api=1&amp;query=Beartooth%20Highway%2C%20Montana</x:v>
      </x:c>
      <x:c r="I28" s="16" t="str">
        <x:v>[[45.19,-109.25],[45.03,-109.42],[44.97,-109.47],[44.94,-109.61],[45.02,-109.93]]</x:v>
      </x:c>
      <x:c r="J28" s="17" t="b">
        <x:v>1</x:v>
      </x:c>
      <x:c r="K28" s="16" t="b">
        <x:f>IFERROR(VLOOKUP(A28,States!$A$2:$B$18,2,FALSE),FALSE)</x:f>
        <x:v>1</x:v>
      </x:c>
      <x:c r="L28" s="16" t="b">
        <x:f>AND(OR(J28=TRUE,J28="TRUE"),OR(K28=TRUE,K28="TRUE"))</x:f>
        <x:v>1</x:v>
      </x:c>
    </x:row>
    <x:row r="29">
      <x:c r="A29" s="16" t="str">
        <x:v>Montana</x:v>
      </x:c>
      <x:c r="B29" s="16" t="str">
        <x:v>Going-to-the-Sun Road</x:v>
      </x:c>
      <x:c r="C29" s="16" t="str">
        <x:v>West Glacier</x:v>
      </x:c>
      <x:c r="D29" s="16" t="str">
        <x:v>St. Mary</x:v>
      </x:c>
      <x:c r="E29" s="16" t="str">
        <x:v>Glacier National Park's famous alpine crossing with lakes, cliffs, and high passes.</x:v>
      </x:c>
      <x:c r="F29" s="16" t="str">
        <x:v>Alpine mountains and lakes</x:v>
      </x:c>
      <x:c r="G29" s="16" t="str">
        <x:v>https://www.nps.gov/glac/planyourvisit/goingtothesunroad.htm</x:v>
      </x:c>
      <x:c r="H29" s="16" t="str">
        <x:v>https://www.google.com/maps/search/?api=1&amp;query=Going-to-the-Sun%20Road%2C%20Montana</x:v>
      </x:c>
      <x:c r="I29" s="16" t="str">
        <x:v>[[48.5,-113.98],[48.7,-113.72],[48.69,-113.53],[48.75,-113.43]]</x:v>
      </x:c>
      <x:c r="J29" s="17" t="b">
        <x:v>1</x:v>
      </x:c>
      <x:c r="K29" s="16" t="b">
        <x:f>IFERROR(VLOOKUP(A29,States!$A$2:$B$18,2,FALSE),FALSE)</x:f>
        <x:v>1</x:v>
      </x:c>
      <x:c r="L29" s="16" t="b">
        <x:f>AND(OR(J29=TRUE,J29="TRUE"),OR(K29=TRUE,K29="TRUE"))</x:f>
        <x:v>1</x:v>
      </x:c>
    </x:row>
    <x:row r="30">
      <x:c r="A30" s="16" t="str">
        <x:v>Wyoming</x:v>
      </x:c>
      <x:c r="B30" s="16" t="str">
        <x:v>Chief Joseph Scenic Byway</x:v>
      </x:c>
      <x:c r="C30" s="16" t="str">
        <x:v>Cody</x:v>
      </x:c>
      <x:c r="D30" s="16" t="str">
        <x:v>Beartooth Highway</x:v>
      </x:c>
      <x:c r="E30" s="16" t="str">
        <x:v>Absaroka mountain views, historic landscapes, and dramatic switchbacks.</x:v>
      </x:c>
      <x:c r="F30" s="16" t="str">
        <x:v>Mountains and canyons</x:v>
      </x:c>
      <x:c r="G30" s="16" t="str">
        <x:v>https://travelwyoming.com/listings/chief-joseph-scenic-byway/</x:v>
      </x:c>
      <x:c r="H30" s="16" t="str">
        <x:v>https://www.google.com/maps/search/?api=1&amp;query=Chief%20Joseph%20Scenic%20Byway%2C%20Wyoming</x:v>
      </x:c>
      <x:c r="I30" s="16" t="str">
        <x:v>[[44.53,-109.06],[44.47,-109.43],[44.84,-109.65],[44.94,-109.61]]</x:v>
      </x:c>
      <x:c r="J30" s="17" t="b">
        <x:v>1</x:v>
      </x:c>
      <x:c r="K30" s="16" t="b">
        <x:f>IFERROR(VLOOKUP(A30,States!$A$2:$B$18,2,FALSE),FALSE)</x:f>
        <x:v>1</x:v>
      </x:c>
      <x:c r="L30" s="16" t="b">
        <x:f>AND(OR(J30=TRUE,J30="TRUE"),OR(K30=TRUE,K30="TRUE"))</x:f>
        <x:v>1</x:v>
      </x:c>
    </x:row>
    <x:row r="31">
      <x:c r="A31" s="16" t="str">
        <x:v>Wyoming</x:v>
      </x:c>
      <x:c r="B31" s="16" t="str">
        <x:v>Centennial Scenic Byway</x:v>
      </x:c>
      <x:c r="C31" s="16" t="str">
        <x:v>Dubois</x:v>
      </x:c>
      <x:c r="D31" s="16" t="str">
        <x:v>Pinedale</x:v>
      </x:c>
      <x:c r="E31" s="16" t="str">
        <x:v>Wind River, Teton gateway country, high valleys, and national-forest scenery.</x:v>
      </x:c>
      <x:c r="F31" s="16" t="str">
        <x:v>Mountains and sage valleys</x:v>
      </x:c>
      <x:c r="G31" s="16" t="str">
        <x:v>https://www.recreation.gov/gateways/13902</x:v>
      </x:c>
      <x:c r="H31" s="16" t="str">
        <x:v>https://www.google.com/maps/search/?api=1&amp;query=Centennial%20Scenic%20Byway%2C%20Wyoming</x:v>
      </x:c>
      <x:c r="I31" s="16" t="str">
        <x:v>[[43.53,-109.63],[43.86,-110.59],[43.48,-110.76],[42.87,-109.86]]</x:v>
      </x:c>
      <x:c r="J31" s="17" t="b">
        <x:v>1</x:v>
      </x:c>
      <x:c r="K31" s="16" t="b">
        <x:f>IFERROR(VLOOKUP(A31,States!$A$2:$B$18,2,FALSE),FALSE)</x:f>
        <x:v>1</x:v>
      </x:c>
      <x:c r="L31" s="16" t="b">
        <x:f>AND(OR(J31=TRUE,J31="TRUE"),OR(K31=TRUE,K31="TRUE"))</x:f>
        <x:v>1</x:v>
      </x:c>
    </x:row>
    <x:row r="32">
      <x:c r="A32" s="16" t="str">
        <x:v>Idaho</x:v>
      </x:c>
      <x:c r="B32" s="16" t="str">
        <x:v>Sawtooth Scenic Byway</x:v>
      </x:c>
      <x:c r="C32" s="16" t="str">
        <x:v>Shoshone</x:v>
      </x:c>
      <x:c r="D32" s="16" t="str">
        <x:v>Stanley</x:v>
      </x:c>
      <x:c r="E32" s="16" t="str">
        <x:v>Lava plains, mountain valleys, alpine lakes, and jagged Sawtooth views.</x:v>
      </x:c>
      <x:c r="F32" s="16" t="str">
        <x:v>Mountains and meadows</x:v>
      </x:c>
      <x:c r="G32" s="16" t="str">
        <x:v>https://visitidaho.org/things-to-do/road-trips/sawtooth-scenic-byway/</x:v>
      </x:c>
      <x:c r="H32" s="16" t="str">
        <x:v>https://www.google.com/maps/search/?api=1&amp;query=Sawtooth%20Scenic%20Byway%2C%20Idaho</x:v>
      </x:c>
      <x:c r="I32" s="16" t="str">
        <x:v>[[42.94,-114.41],[43.68,-114.36],[44.07,-114.74],[44.22,-114.93]]</x:v>
      </x:c>
      <x:c r="J32" s="17" t="b">
        <x:v>1</x:v>
      </x:c>
      <x:c r="K32" s="16" t="b">
        <x:f>IFERROR(VLOOKUP(A32,States!$A$2:$B$18,2,FALSE),FALSE)</x:f>
        <x:v>1</x:v>
      </x:c>
      <x:c r="L32" s="16" t="b">
        <x:f>AND(OR(J32=TRUE,J32="TRUE"),OR(K32=TRUE,K32="TRUE"))</x:f>
        <x:v>1</x:v>
      </x:c>
    </x:row>
    <x:row r="33">
      <x:c r="A33" s="16" t="str">
        <x:v>Idaho</x:v>
      </x:c>
      <x:c r="B33" s="16" t="str">
        <x:v>International Selkirk Loop</x:v>
      </x:c>
      <x:c r="C33" s="16" t="str">
        <x:v>Sandpoint</x:v>
      </x:c>
      <x:c r="D33" s="16" t="str">
        <x:v>Bonners Ferry</x:v>
      </x:c>
      <x:c r="E33" s="16" t="str">
        <x:v>Lake Pend Oreille, forested mountains, wildlife refuges, and borderland towns.</x:v>
      </x:c>
      <x:c r="F33" s="16" t="str">
        <x:v>Lakes and mountains</x:v>
      </x:c>
      <x:c r="G33" s="16" t="str">
        <x:v>https://selkirkloop.org/</x:v>
      </x:c>
      <x:c r="H33" s="16" t="str">
        <x:v>https://www.google.com/maps/search/?api=1&amp;query=International%20Selkirk%20Loop%2C%20Idaho</x:v>
      </x:c>
      <x:c r="I33" s="16" t="str">
        <x:v>[[48.28,-116.55],[48.47,-116.55],[48.69,-116.32]]</x:v>
      </x:c>
      <x:c r="J33" s="17" t="b">
        <x:v>1</x:v>
      </x:c>
      <x:c r="K33" s="16" t="b">
        <x:f>IFERROR(VLOOKUP(A33,States!$A$2:$B$18,2,FALSE),FALSE)</x:f>
        <x:v>1</x:v>
      </x:c>
      <x:c r="L33" s="16" t="b">
        <x:f>AND(OR(J33=TRUE,J33="TRUE"),OR(K33=TRUE,K33="TRUE"))</x:f>
        <x:v>1</x:v>
      </x:c>
    </x:row>
    <x:row r="34">
      <x:c r="A34" s="16" t="str">
        <x:v>Washington</x:v>
      </x:c>
      <x:c r="B34" s="16" t="str">
        <x:v>Cascade Loop Scenic Byway</x:v>
      </x:c>
      <x:c r="C34" s="16" t="str">
        <x:v>Everett</x:v>
      </x:c>
      <x:c r="D34" s="16" t="str">
        <x:v>Whidbey Island</x:v>
      </x:c>
      <x:c r="E34" s="16" t="str">
        <x:v>Cascades, river valleys, Bavarian Leavenworth, orchards, and Puget Sound islands.</x:v>
      </x:c>
      <x:c r="F34" s="16" t="str">
        <x:v>Mountains, orchards, coast</x:v>
      </x:c>
      <x:c r="G34" s="16" t="str">
        <x:v>https://www.cascadeloop.com/</x:v>
      </x:c>
      <x:c r="H34" s="16" t="str">
        <x:v>https://www.google.com/maps/search/?api=1&amp;query=Cascade%20Loop%20Scenic%20Byway%2C%20Washington</x:v>
      </x:c>
      <x:c r="I34" s="16" t="str">
        <x:v>[[47.98,-122.2],[47.86,-121.97],[47.6,-120.66],[48.47,-120.18],[48.5,-122.6]]</x:v>
      </x:c>
      <x:c r="J34" s="17" t="b">
        <x:v>1</x:v>
      </x:c>
      <x:c r="K34" s="16" t="b">
        <x:f>IFERROR(VLOOKUP(A34,States!$A$2:$B$18,2,FALSE),FALSE)</x:f>
        <x:v>1</x:v>
      </x:c>
      <x:c r="L34" s="16" t="b">
        <x:f>AND(OR(J34=TRUE,J34="TRUE"),OR(K34=TRUE,K34="TRUE"))</x:f>
        <x:v>1</x:v>
      </x:c>
    </x:row>
    <x:row r="35">
      <x:c r="A35" s="16" t="str">
        <x:v>Washington</x:v>
      </x:c>
      <x:c r="B35" s="16" t="str">
        <x:v>Chuckanut Drive</x:v>
      </x:c>
      <x:c r="C35" s="16" t="str">
        <x:v>Burlington</x:v>
      </x:c>
      <x:c r="D35" s="16" t="str">
        <x:v>Bellingham</x:v>
      </x:c>
      <x:c r="E35" s="16" t="str">
        <x:v>Coastal cliffs, forest curves, island views, and oyster-country pullouts.</x:v>
      </x:c>
      <x:c r="F35" s="16" t="str">
        <x:v>Coastal forest</x:v>
      </x:c>
      <x:c r="G35" s="16" t="str">
        <x:v>https://stateofwatourism.com/</x:v>
      </x:c>
      <x:c r="H35" s="16" t="str">
        <x:v>https://www.google.com/maps/search/?api=1&amp;query=Chuckanut%20Drive%2C%20Washington</x:v>
      </x:c>
      <x:c r="I35" s="16" t="str">
        <x:v>[[48.47,-122.33],[48.61,-122.43],[48.75,-122.48]]</x:v>
      </x:c>
      <x:c r="J35" s="17" t="b">
        <x:v>1</x:v>
      </x:c>
      <x:c r="K35" s="16" t="b">
        <x:f>IFERROR(VLOOKUP(A35,States!$A$2:$B$18,2,FALSE),FALSE)</x:f>
        <x:v>1</x:v>
      </x:c>
      <x:c r="L35" s="16" t="b">
        <x:f>AND(OR(J35=TRUE,J35="TRUE"),OR(K35=TRUE,K35="TRUE"))</x:f>
        <x:v>1</x:v>
      </x:c>
    </x:row>
    <x:row r="36">
      <x:c r="A36" s="16" t="str">
        <x:v>Oregon</x:v>
      </x:c>
      <x:c r="B36" s="16" t="str">
        <x:v>Historic Columbia River Highway</x:v>
      </x:c>
      <x:c r="C36" s="16" t="str">
        <x:v>Troutdale</x:v>
      </x:c>
      <x:c r="D36" s="16" t="str">
        <x:v>The Dalles</x:v>
      </x:c>
      <x:c r="E36" s="16" t="str">
        <x:v>Waterfalls, basalt cliffs, river overlooks, and early highway engineering.</x:v>
      </x:c>
      <x:c r="F36" s="16" t="str">
        <x:v>River gorge and waterfalls</x:v>
      </x:c>
      <x:c r="G36" s="16" t="str">
        <x:v>https://traveloregon.com/things-to-do/trip-ideas/scenic-byways/historic-columbia-river-highway/</x:v>
      </x:c>
      <x:c r="H36" s="16" t="str">
        <x:v>https://www.google.com/maps/search/?api=1&amp;query=Historic%20Columbia%20River%20Highway%2C%20Oregon</x:v>
      </x:c>
      <x:c r="I36" s="16" t="str">
        <x:v>[[45.54,-122.39],[45.58,-122.12],[45.69,-121.52],[45.6,-121.18]]</x:v>
      </x:c>
      <x:c r="J36" s="17" t="b">
        <x:v>1</x:v>
      </x:c>
      <x:c r="K36" s="16" t="b">
        <x:f>IFERROR(VLOOKUP(A36,States!$A$2:$B$18,2,FALSE),FALSE)</x:f>
        <x:v>1</x:v>
      </x:c>
      <x:c r="L36" s="16" t="b">
        <x:f>AND(OR(J36=TRUE,J36="TRUE"),OR(K36=TRUE,K36="TRUE"))</x:f>
        <x:v>1</x:v>
      </x:c>
    </x:row>
    <x:row r="37">
      <x:c r="A37" s="16" t="str">
        <x:v>Oregon</x:v>
      </x:c>
      <x:c r="B37" s="16" t="str">
        <x:v>Hells Canyon Scenic Byway</x:v>
      </x:c>
      <x:c r="C37" s="16" t="str">
        <x:v>La Grande</x:v>
      </x:c>
      <x:c r="D37" s="16" t="str">
        <x:v>Baker City</x:v>
      </x:c>
      <x:c r="E37" s="16" t="str">
        <x:v>Wallowa Mountains, ranch valleys, canyon overlooks, and northeast Oregon towns.</x:v>
      </x:c>
      <x:c r="F37" s="16" t="str">
        <x:v>Mountains and canyon</x:v>
      </x:c>
      <x:c r="G37" s="16" t="str">
        <x:v>https://traveloregon.com/things-to-do/trip-ideas/scenic-byways/hells-canyon-scenic-byway/</x:v>
      </x:c>
      <x:c r="H37" s="16" t="str">
        <x:v>https://www.google.com/maps/search/?api=1&amp;query=Hells%20Canyon%20Scenic%20Byway%2C%20Oregon</x:v>
      </x:c>
      <x:c r="I37" s="16" t="str">
        <x:v>[[45.33,-118.09],[45.35,-117.23],[45.57,-117.92],[44.78,-117.83]]</x:v>
      </x:c>
      <x:c r="J37" s="17" t="b">
        <x:v>1</x:v>
      </x:c>
      <x:c r="K37" s="16" t="b">
        <x:f>IFERROR(VLOOKUP(A37,States!$A$2:$B$18,2,FALSE),FALSE)</x:f>
        <x:v>1</x:v>
      </x:c>
      <x:c r="L37" s="16" t="b">
        <x:f>AND(OR(J37=TRUE,J37="TRUE"),OR(K37=TRUE,K37="TRUE"))</x:f>
        <x:v>1</x:v>
      </x:c>
    </x:row>
  </x:sheetData>
  <x:dataValidations count="1">
    <x:dataValidation type="list" sqref="J2:J3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307621fb045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>
      <x:c r="A1" s="9" t="str">
        <x:v>Source / Use</x:v>
      </x:c>
      <x:c r="B1" s="9" t="str">
        <x:v>Link or Note</x:v>
      </x:c>
    </x:row>
    <x:row r="2">
      <x:c r="A2" s="13" t="str">
        <x:v>General attraction selection</x:v>
      </x:c>
      <x:c r="B2" s="13" t="str">
        <x:v>State tourism and national park official sites were used as primary orientation sources, with well-known regional landmarks filled in from established public references.</x:v>
      </x:c>
    </x:row>
    <x:row r="3">
      <x:c r="A3" s="13" t="str">
        <x:v>New York</x:v>
      </x:c>
      <x:c r="B3" s="13" t="str">
        <x:v>https://www.iloveny.com/things-to-do/</x:v>
      </x:c>
    </x:row>
    <x:row r="4">
      <x:c r="A4" s="13" t="str">
        <x:v>Pennsylvania</x:v>
      </x:c>
      <x:c r="B4" s="13" t="str">
        <x:v>https://www.visitpa.com/</x:v>
      </x:c>
    </x:row>
    <x:row r="5">
      <x:c r="A5" s="13" t="str">
        <x:v>Ohio</x:v>
      </x:c>
      <x:c r="B5" s="13" t="str">
        <x:v>https://ohio.org/things-to-do</x:v>
      </x:c>
    </x:row>
    <x:row r="6">
      <x:c r="A6" s="13" t="str">
        <x:v>Michigan</x:v>
      </x:c>
      <x:c r="B6" s="13" t="str">
        <x:v>https://www.michigan.org/</x:v>
      </x:c>
    </x:row>
    <x:row r="7">
      <x:c r="A7" s="13" t="str">
        <x:v>Indiana</x:v>
      </x:c>
      <x:c r="B7" s="13" t="str">
        <x:v>https://www.visitindiana.com/</x:v>
      </x:c>
    </x:row>
    <x:row r="8">
      <x:c r="A8" s="13" t="str">
        <x:v>Illinois</x:v>
      </x:c>
      <x:c r="B8" s="13" t="str">
        <x:v>https://www.enjoyillinois.com/</x:v>
      </x:c>
    </x:row>
    <x:row r="9">
      <x:c r="A9" s="13" t="str">
        <x:v>Wisconsin</x:v>
      </x:c>
      <x:c r="B9" s="13" t="str">
        <x:v>https://www.travelwisconsin.com/</x:v>
      </x:c>
    </x:row>
    <x:row r="10">
      <x:c r="A10" s="13" t="str">
        <x:v>Minnesota</x:v>
      </x:c>
      <x:c r="B10" s="13" t="str">
        <x:v>https://www.exploreminnesota.com/</x:v>
      </x:c>
    </x:row>
    <x:row r="11">
      <x:c r="A11" s="13" t="str">
        <x:v>Iowa</x:v>
      </x:c>
      <x:c r="B11" s="13" t="str">
        <x:v>https://www.traveliowa.com/</x:v>
      </x:c>
    </x:row>
    <x:row r="12">
      <x:c r="A12" s="13" t="str">
        <x:v>North Dakota</x:v>
      </x:c>
      <x:c r="B12" s="13" t="str">
        <x:v>https://www.ndtourism.com/</x:v>
      </x:c>
    </x:row>
    <x:row r="13">
      <x:c r="A13" s="13" t="str">
        <x:v>South Dakota</x:v>
      </x:c>
      <x:c r="B13" s="13" t="str">
        <x:v>https://www.travelsouthdakota.com/</x:v>
      </x:c>
    </x:row>
    <x:row r="14">
      <x:c r="A14" s="13" t="str">
        <x:v>Nebraska</x:v>
      </x:c>
      <x:c r="B14" s="13" t="str">
        <x:v>https://visitnebraska.com/</x:v>
      </x:c>
    </x:row>
    <x:row r="15">
      <x:c r="A15" s="13" t="str">
        <x:v>Montana</x:v>
      </x:c>
      <x:c r="B15" s="13" t="str">
        <x:v>https://www.visitmt.com/</x:v>
      </x:c>
    </x:row>
    <x:row r="16">
      <x:c r="A16" s="13" t="str">
        <x:v>Wyoming</x:v>
      </x:c>
      <x:c r="B16" s="13" t="str">
        <x:v>https://travelwyoming.com/</x:v>
      </x:c>
    </x:row>
    <x:row r="17">
      <x:c r="A17" s="13" t="str">
        <x:v>Idaho</x:v>
      </x:c>
      <x:c r="B17" s="13" t="str">
        <x:v>https://visitidaho.org/</x:v>
      </x:c>
    </x:row>
    <x:row r="18">
      <x:c r="A18" s="13" t="str">
        <x:v>Washington</x:v>
      </x:c>
      <x:c r="B18" s="13" t="str">
        <x:v>https://stateofwatourism.com/</x:v>
      </x:c>
    </x:row>
    <x:row r="19">
      <x:c r="A19" s="13" t="str">
        <x:v>Oregon</x:v>
      </x:c>
      <x:c r="B19" s="13" t="str">
        <x:v>https://traveloregon.com/</x:v>
      </x:c>
    </x:row>
    <x:row r="20">
      <x:c r="A20" s="13" t="str">
        <x:v>National Park Service reference</x:v>
      </x:c>
      <x:c r="B20" s="13" t="str">
        <x:v>https://www.nps.gov/</x:v>
      </x:c>
    </x:row>
    <x:row r="21">
      <x:c r="A21" s="13" t="str">
        <x:v>America's Byways</x:v>
      </x:c>
      <x:c r="B21" s="13" t="str">
        <x:v>https://www.byways.org/</x:v>
      </x:c>
    </x:row>
    <x:row r="22">
      <x:c r="A22" s="13" t="str">
        <x:v>Wisconsin Scenic Byways</x:v>
      </x:c>
      <x:c r="B22" s="13" t="str">
        <x:v>https://wisconsindot.gov/Pages/travel/road/scenic-ways/default.aspx</x:v>
      </x:c>
    </x:row>
    <x:row r="23">
      <x:c r="A23" s="13" t="str">
        <x:v>Minnesota Scenic Byways</x:v>
      </x:c>
      <x:c r="B23" s="13" t="str">
        <x:v>https://dot.mn.gov/scenicbyways/index.html</x:v>
      </x:c>
    </x:row>
    <x:row r="24">
      <x:c r="A24" s="13" t="str">
        <x:v>Montana Scenic-Historic Byways</x:v>
      </x:c>
      <x:c r="B24" s="13" t="str">
        <x:v>https://www.mdt.mt.gov/travinfo/scenic.aspx</x:v>
      </x:c>
    </x:row>
    <x:row r="25">
      <x:c r="A25" s="13" t="str">
        <x:v>Wyoming Scenic Byways</x:v>
      </x:c>
      <x:c r="B25" s="13" t="str">
        <x:v>https://dot.state.wy.us/home/travel/scenic_byways.html</x:v>
      </x:c>
    </x:row>
    <x:row r="26">
      <x:c r="A26" s="13" t="str">
        <x:v>Nebraska Scenic Byways</x:v>
      </x:c>
      <x:c r="B26" s="13" t="str">
        <x:v>https://visitnebraska.com/scenic-byways</x:v>
      </x:c>
    </x:row>
    <x:row r="27">
      <x:c r="A27" s="13" t="str">
        <x:v>Nebraska DOT Scenic Byways</x:v>
      </x:c>
      <x:c r="B27" s="13" t="str">
        <x:v>https://dot.nebraska.gov/travel/scenic-byways/</x:v>
      </x:c>
    </x:row>
  </x:sheetData>
  <x:pageMargins left="0.7" right="0.7" top="0.75" bottom="0.75" header="0.3" footer="0.3"/>
  <x:tableParts count="1">
    <x:tablePart xmlns:r="http://schemas.openxmlformats.org/officeDocument/2006/relationships" r:id="Rdcd9250e9dfe4665"/>
  </x:tableParts>
</x:worksheet>
</file>